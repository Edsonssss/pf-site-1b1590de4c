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ртфель и прогнозы" sheetId="1" state="visible" r:id="rId1"/>
    <sheet name="Остатки по дням" sheetId="2" state="visible" r:id="rId2"/>
    <sheet name="Сводка и макропрогноз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###"/>
    <numFmt numFmtId="165" formatCode="+0.00%;-0.00%"/>
    <numFmt numFmtId="166" formatCode="+0.0%;-0.0%"/>
    <numFmt numFmtId="167" formatCode="0.0%"/>
    <numFmt numFmtId="168" formatCode="0.00000"/>
  </numFmts>
  <fonts count="18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808080"/>
      <sz val="9"/>
    </font>
    <font>
      <b val="1"/>
      <color rgb="00FFFFFF"/>
      <sz val="10"/>
    </font>
    <font>
      <sz val="10"/>
    </font>
    <font>
      <color rgb="009C0006"/>
      <sz val="10"/>
    </font>
    <font>
      <b val="1"/>
      <color rgb="00006100"/>
      <sz val="10"/>
    </font>
    <font>
      <color rgb="00006100"/>
      <sz val="10"/>
    </font>
    <font>
      <color rgb="001F5C99"/>
      <sz val="9"/>
    </font>
    <font>
      <sz val="9"/>
    </font>
    <font>
      <b val="1"/>
      <color rgb="009C6500"/>
      <sz val="10"/>
    </font>
    <font>
      <color rgb="00595959"/>
      <sz val="10"/>
    </font>
    <font>
      <b val="1"/>
      <sz val="10"/>
    </font>
    <font>
      <b val="1"/>
      <sz val="9"/>
    </font>
    <font>
      <b val="1"/>
      <color rgb="00006100"/>
      <sz val="9"/>
    </font>
    <font>
      <b val="1"/>
      <color rgb="00404040"/>
      <sz val="10"/>
    </font>
    <font>
      <b val="1"/>
      <color rgb="001F3864"/>
      <sz val="12"/>
    </font>
    <font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FAFBF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4" fontId="4" fillId="0" borderId="1" pivotButton="0" quotePrefix="0" xfId="0"/>
    <xf numFmtId="165" fontId="5" fillId="0" borderId="1" pivotButton="0" quotePrefix="0" xfId="0"/>
    <xf numFmtId="3" fontId="4" fillId="0" borderId="1" pivotButton="0" quotePrefix="0" xfId="0"/>
    <xf numFmtId="10" fontId="4" fillId="0" borderId="1" pivotButton="0" quotePrefix="0" xfId="0"/>
    <xf numFmtId="0" fontId="6" fillId="3" borderId="1" applyAlignment="1" pivotButton="0" quotePrefix="0" xfId="0">
      <alignment horizontal="center"/>
    </xf>
    <xf numFmtId="166" fontId="7" fillId="0" borderId="1" pivotButton="0" quotePrefix="0" xfId="0"/>
    <xf numFmtId="0" fontId="4" fillId="0" borderId="1" applyAlignment="1" pivotButton="0" quotePrefix="0" xfId="0">
      <alignment vertical="top" wrapText="1"/>
    </xf>
    <xf numFmtId="0" fontId="8" fillId="0" borderId="1" pivotButton="0" quotePrefix="0" xfId="0"/>
    <xf numFmtId="0" fontId="8" fillId="0" borderId="1" applyAlignment="1" pivotButton="0" quotePrefix="0" xfId="0">
      <alignment vertical="top" wrapText="1"/>
    </xf>
    <xf numFmtId="167" fontId="4" fillId="0" borderId="1" pivotButton="0" quotePrefix="0" xfId="0"/>
    <xf numFmtId="0" fontId="9" fillId="0" borderId="1" applyAlignment="1" pivotButton="0" quotePrefix="0" xfId="0">
      <alignment vertical="top" wrapText="1"/>
    </xf>
    <xf numFmtId="165" fontId="7" fillId="0" borderId="1" pivotButton="0" quotePrefix="0" xfId="0"/>
    <xf numFmtId="0" fontId="10" fillId="4" borderId="1" applyAlignment="1" pivotButton="0" quotePrefix="0" xfId="0">
      <alignment horizontal="center"/>
    </xf>
    <xf numFmtId="166" fontId="5" fillId="0" borderId="1" pivotButton="0" quotePrefix="0" xfId="0"/>
    <xf numFmtId="168" fontId="4" fillId="0" borderId="1" pivotButton="0" quotePrefix="0" xfId="0"/>
    <xf numFmtId="0" fontId="11" fillId="5" borderId="1" applyAlignment="1" pivotButton="0" quotePrefix="0" xfId="0">
      <alignment horizontal="center"/>
    </xf>
    <xf numFmtId="0" fontId="12" fillId="6" borderId="1" applyAlignment="1" pivotButton="0" quotePrefix="0" xfId="0">
      <alignment horizontal="right"/>
    </xf>
    <xf numFmtId="0" fontId="0" fillId="0" borderId="1" pivotButton="0" quotePrefix="0" xfId="0"/>
    <xf numFmtId="3" fontId="12" fillId="6" borderId="1" pivotButton="0" quotePrefix="0" xfId="0"/>
    <xf numFmtId="10" fontId="12" fillId="6" borderId="1" pivotButton="0" quotePrefix="0" xfId="0"/>
    <xf numFmtId="0" fontId="13" fillId="6" borderId="1" applyAlignment="1" pivotButton="0" quotePrefix="0" xfId="0">
      <alignment horizontal="left"/>
    </xf>
    <xf numFmtId="0" fontId="0" fillId="6" borderId="1" pivotButton="0" quotePrefix="0" xfId="0"/>
    <xf numFmtId="0" fontId="12" fillId="7" borderId="1" applyAlignment="1" pivotButton="0" quotePrefix="0" xfId="0">
      <alignment horizontal="right"/>
    </xf>
    <xf numFmtId="3" fontId="12" fillId="7" borderId="1" pivotButton="0" quotePrefix="0" xfId="0"/>
    <xf numFmtId="10" fontId="12" fillId="7" borderId="1" pivotButton="0" quotePrefix="0" xfId="0"/>
    <xf numFmtId="0" fontId="0" fillId="7" borderId="1" pivotButton="0" quotePrefix="0" xfId="0"/>
    <xf numFmtId="0" fontId="14" fillId="7" borderId="1" applyAlignment="1" pivotButton="0" quotePrefix="0" xfId="0">
      <alignment horizontal="left"/>
    </xf>
    <xf numFmtId="0" fontId="13" fillId="7" borderId="1" applyAlignment="1" pivotButton="0" quotePrefix="0" xfId="0">
      <alignment horizontal="left"/>
    </xf>
    <xf numFmtId="0" fontId="15" fillId="5" borderId="1" applyAlignment="1" pivotButton="0" quotePrefix="0" xfId="0">
      <alignment horizontal="left"/>
    </xf>
    <xf numFmtId="0" fontId="0" fillId="5" borderId="1" pivotButton="0" quotePrefix="0" xfId="0"/>
    <xf numFmtId="0" fontId="2" fillId="0" borderId="0" applyAlignment="1" pivotButton="0" quotePrefix="0" xfId="0">
      <alignment vertical="top" wrapText="1"/>
    </xf>
    <xf numFmtId="3" fontId="12" fillId="0" borderId="1" pivotButton="0" quotePrefix="0" xfId="0"/>
    <xf numFmtId="0" fontId="17" fillId="0" borderId="1" applyAlignment="1" pivotButton="0" quotePrefix="0" xfId="0">
      <alignment vertical="top" wrapText="1"/>
    </xf>
    <xf numFmtId="0" fontId="4" fillId="8" borderId="1" applyAlignment="1" pivotButton="0" quotePrefix="0" xfId="0">
      <alignment horizontal="center"/>
    </xf>
    <xf numFmtId="3" fontId="4" fillId="8" borderId="1" pivotButton="0" quotePrefix="0" xfId="0"/>
    <xf numFmtId="3" fontId="12" fillId="8" borderId="1" pivotButton="0" quotePrefix="0" xfId="0"/>
    <xf numFmtId="0" fontId="17" fillId="8" borderId="1" applyAlignment="1" pivotButton="0" quotePrefix="0" xfId="0">
      <alignment vertical="top" wrapText="1"/>
    </xf>
    <xf numFmtId="0" fontId="16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Динамика остатков: помесячно с 03.2023 (на 1-е число) + ежедневно, ₽</a:t>
            </a:r>
          </a:p>
        </rich>
      </tx>
    </title>
    <plotArea>
      <lineChart>
        <grouping val="standard"/>
        <ser>
          <idx val="0"/>
          <order val="0"/>
          <tx>
            <strRef>
              <f>'Остатки по дням'!B4</f>
            </strRef>
          </tx>
          <spPr>
            <a:ln w="19050">
              <a:solidFill>
                <a:srgbClr val="A855F7"/>
              </a:solidFill>
              <a:prstDash val="solid"/>
            </a:ln>
          </spPr>
          <marker>
            <symbol val="circle"/>
            <size val="3"/>
            <spPr>
              <a:solidFill>
                <a:srgbClr val="A855F7"/>
              </a:solidFill>
              <a:ln>
                <a:prstDash val="solid"/>
              </a:ln>
            </spPr>
          </marker>
          <cat>
            <numRef>
              <f>'Остатки по дням'!$A$5:$A$59</f>
            </numRef>
          </cat>
          <val>
            <numRef>
              <f>'Остатки по дням'!$B$5:$B$59</f>
            </numRef>
          </val>
          <smooth val="0"/>
        </ser>
        <ser>
          <idx val="1"/>
          <order val="1"/>
          <tx>
            <strRef>
              <f>'Остатки по дням'!C4</f>
            </strRef>
          </tx>
          <spPr>
            <a:ln w="19050">
              <a:solidFill>
                <a:srgbClr val="2563EB"/>
              </a:solidFill>
              <a:prstDash val="solid"/>
            </a:ln>
          </spPr>
          <marker>
            <symbol val="circle"/>
            <size val="3"/>
            <spPr>
              <a:solidFill>
                <a:srgbClr val="2563EB"/>
              </a:solidFill>
              <a:ln>
                <a:prstDash val="solid"/>
              </a:ln>
            </spPr>
          </marker>
          <cat>
            <numRef>
              <f>'Остатки по дням'!$A$5:$A$59</f>
            </numRef>
          </cat>
          <val>
            <numRef>
              <f>'Остатки по дням'!$C$5:$C$59</f>
            </numRef>
          </val>
          <smooth val="0"/>
        </ser>
        <ser>
          <idx val="2"/>
          <order val="2"/>
          <tx>
            <strRef>
              <f>'Остатки по дням'!D4</f>
            </strRef>
          </tx>
          <spPr>
            <a:ln w="19050">
              <a:solidFill>
                <a:srgbClr val="16A34A"/>
              </a:solidFill>
              <a:prstDash val="solid"/>
            </a:ln>
          </spPr>
          <marker>
            <symbol val="circle"/>
            <size val="3"/>
            <spPr>
              <a:solidFill>
                <a:srgbClr val="16A34A"/>
              </a:solidFill>
              <a:ln>
                <a:prstDash val="solid"/>
              </a:ln>
            </spPr>
          </marker>
          <cat>
            <numRef>
              <f>'Остатки по дням'!$A$5:$A$59</f>
            </numRef>
          </cat>
          <val>
            <numRef>
              <f>'Остатки по дням'!$D$5:$D$59</f>
            </numRef>
          </val>
          <smooth val="0"/>
        </ser>
        <ser>
          <idx val="3"/>
          <order val="3"/>
          <tx>
            <strRef>
              <f>'Остатки по дням'!E4</f>
            </strRef>
          </tx>
          <spPr>
            <a:ln w="19050">
              <a:solidFill>
                <a:srgbClr val="F59E0B"/>
              </a:solidFill>
              <a:prstDash val="solid"/>
            </a:ln>
          </spPr>
          <marker>
            <symbol val="circle"/>
            <size val="3"/>
            <spPr>
              <a:solidFill>
                <a:srgbClr val="F59E0B"/>
              </a:solidFill>
              <a:ln>
                <a:prstDash val="solid"/>
              </a:ln>
            </spPr>
          </marker>
          <cat>
            <numRef>
              <f>'Остатки по дням'!$A$5:$A$59</f>
            </numRef>
          </cat>
          <val>
            <numRef>
              <f>'Остатки по дням'!$E$5:$E$59</f>
            </numRef>
          </val>
          <smooth val="0"/>
        </ser>
        <ser>
          <idx val="4"/>
          <order val="4"/>
          <tx>
            <strRef>
              <f>'Остатки по дням'!F4</f>
            </strRef>
          </tx>
          <spPr>
            <a:ln w="28575">
              <a:solidFill>
                <a:srgbClr val="111827"/>
              </a:solidFill>
              <a:prstDash val="solid"/>
            </a:ln>
          </spPr>
          <marker>
            <symbol val="circle"/>
            <size val="3"/>
            <spPr>
              <a:solidFill>
                <a:srgbClr val="111827"/>
              </a:solidFill>
              <a:ln>
                <a:prstDash val="solid"/>
              </a:ln>
            </spPr>
          </marker>
          <cat>
            <numRef>
              <f>'Остатки по дням'!$A$5:$A$59</f>
            </numRef>
          </cat>
          <val>
            <numRef>
              <f>'Остатки по дням'!$F$5:$F$59</f>
            </numRef>
          </val>
          <smooth val="0"/>
        </ser>
        <ser>
          <idx val="5"/>
          <order val="5"/>
          <tx>
            <strRef>
              <f>'Остатки по дням'!I4</f>
            </strRef>
          </tx>
          <spPr>
            <a:ln w="28575">
              <a:solidFill>
                <a:srgbClr val="DC2626"/>
              </a:solidFill>
              <a:prstDash val="dash"/>
            </a:ln>
          </spPr>
          <marker>
            <symbol val="circle"/>
            <size val="3"/>
            <spPr>
              <a:solidFill>
                <a:srgbClr val="DC2626"/>
              </a:solidFill>
              <a:ln>
                <a:prstDash val="solid"/>
              </a:ln>
            </spPr>
          </marker>
          <cat>
            <numRef>
              <f>'Остатки по дням'!$A$5:$A$59</f>
            </numRef>
          </cat>
          <val>
            <numRef>
              <f>'Остатки по дням'!$I$5:$I$59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Дата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₽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61</row>
      <rowOff>0</rowOff>
    </from>
    <ext cx="108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9" customWidth="1" min="3" max="3"/>
    <col width="28" customWidth="1" min="4" max="4"/>
    <col width="10" customWidth="1" min="5" max="5"/>
    <col width="14" customWidth="1" min="6" max="6"/>
    <col width="16" customWidth="1" min="7" max="7"/>
    <col width="11" customWidth="1" min="8" max="8"/>
    <col width="14" customWidth="1" min="9" max="9"/>
    <col width="9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26" customWidth="1" min="16" max="16"/>
    <col width="11" customWidth="1" min="17" max="17"/>
    <col width="17" customWidth="1" min="18" max="18"/>
    <col width="50" customWidth="1" min="19" max="19"/>
  </cols>
  <sheetData>
    <row r="1">
      <c r="A1" s="1" t="inlineStr">
        <is>
          <t>Инвестиционный портфель — сводные прогнозы Т-Банка (Т-Инвестиции) и дивиденды на 29.10.2026 (автообновление)</t>
        </is>
      </c>
    </row>
    <row r="2" ht="30" customHeight="1">
      <c r="A2" s="2" t="inlineStr">
        <is>
          <t>Источники: сводный прогноз Т-Банка — на 08.10.2026; цены — MOEX ISS (29.10.2026, закрытие 28.10.2026); паи — investfunds.ru; дивиденды — tbank.ru + smart-lab.ru. * Доли: в строках акций — внутри акции-части, фондов — внутри фондов, в итогах и кэше — в портфеле.</t>
        </is>
      </c>
    </row>
    <row r="3" ht="48" customHeight="1">
      <c r="A3" s="3" t="inlineStr">
        <is>
          <t>№</t>
        </is>
      </c>
      <c r="B3" s="3" t="inlineStr">
        <is>
          <t>Категория</t>
        </is>
      </c>
      <c r="C3" s="3" t="inlineStr">
        <is>
          <t>Тикер</t>
        </is>
      </c>
      <c r="D3" s="3" t="inlineStr">
        <is>
          <t>Название</t>
        </is>
      </c>
      <c r="E3" s="3" t="inlineStr">
        <is>
          <t>Кол-во</t>
        </is>
      </c>
      <c r="F3" s="3" t="inlineStr">
        <is>
          <t>Текущая цена, ₽ (29.10.2026)</t>
        </is>
      </c>
      <c r="G3" s="3" t="inlineStr">
        <is>
          <t>Цена за пред. торг. день, ₽ (28.10.2026)</t>
        </is>
      </c>
      <c r="H3" s="3" t="inlineStr">
        <is>
          <t>Изменение, %</t>
        </is>
      </c>
      <c r="I3" s="3" t="inlineStr">
        <is>
          <t>Текущая стоимость, ₽</t>
        </is>
      </c>
      <c r="J3" s="3" t="inlineStr">
        <is>
          <t>Доля, % *</t>
        </is>
      </c>
      <c r="K3" s="3" t="inlineStr">
        <is>
          <t>Рекомендация Т-Банк</t>
        </is>
      </c>
      <c r="L3" s="3" t="inlineStr">
        <is>
          <t>Целевая цена, ₽</t>
        </is>
      </c>
      <c r="M3" s="3" t="inlineStr">
        <is>
          <t>Потенциал, %</t>
        </is>
      </c>
      <c r="N3" s="3" t="inlineStr">
        <is>
          <t>Диапазон целей, ₽</t>
        </is>
      </c>
      <c r="O3" s="3" t="inlineStr">
        <is>
          <t>Ближайший дивиденд, ₽/акц.</t>
        </is>
      </c>
      <c r="P3" s="3" t="inlineStr">
        <is>
          <t>Дата отсечки</t>
        </is>
      </c>
      <c r="Q3" s="3" t="inlineStr">
        <is>
          <t>Див. доходность за 12 мес</t>
        </is>
      </c>
      <c r="R3" s="3" t="inlineStr">
        <is>
          <t>Статус дивиденда</t>
        </is>
      </c>
      <c r="S3" s="3" t="inlineStr">
        <is>
          <t>Примечания / прогноз</t>
        </is>
      </c>
    </row>
    <row r="4">
      <c r="A4" s="4" t="n">
        <v>1</v>
      </c>
      <c r="B4" s="5" t="inlineStr">
        <is>
          <t>Акции</t>
        </is>
      </c>
      <c r="C4" s="5" t="inlineStr">
        <is>
          <t>SBER</t>
        </is>
      </c>
      <c r="D4" s="5" t="inlineStr">
        <is>
          <t>Сбербанк</t>
        </is>
      </c>
      <c r="E4" s="6" t="n">
        <v>160</v>
      </c>
      <c r="F4" s="7" t="n">
        <v>295.08</v>
      </c>
      <c r="G4" s="7" t="n">
        <v>297.98</v>
      </c>
      <c r="H4" s="8" t="n">
        <v>-0.0097</v>
      </c>
      <c r="I4" s="9" t="n">
        <v>47212.8</v>
      </c>
      <c r="J4" s="10" t="n">
        <v>0.06929763460879997</v>
      </c>
      <c r="K4" s="11" t="inlineStr">
        <is>
          <t>Покупать</t>
        </is>
      </c>
      <c r="L4" s="7" t="n">
        <v>379.4</v>
      </c>
      <c r="M4" s="12" t="n">
        <v>0.2858</v>
      </c>
      <c r="N4" s="13" t="inlineStr">
        <is>
          <t>320 — 430</t>
        </is>
      </c>
      <c r="O4" s="14" t="inlineStr">
        <is>
          <t>≈38–42 (оценка)</t>
        </is>
      </c>
      <c r="P4" s="15" t="inlineStr">
        <is>
          <t>ожидается июль 2027</t>
        </is>
      </c>
      <c r="Q4" s="16" t="n">
        <v>0.128</v>
      </c>
      <c r="R4" s="15" t="inlineStr">
        <is>
          <t>прогноз по истории</t>
        </is>
      </c>
      <c r="S4" s="17" t="inlineStr"/>
    </row>
    <row r="5">
      <c r="A5" s="4" t="n">
        <v>2</v>
      </c>
      <c r="B5" s="5" t="inlineStr">
        <is>
          <t>Акции</t>
        </is>
      </c>
      <c r="C5" s="5" t="inlineStr">
        <is>
          <t>YDEX</t>
        </is>
      </c>
      <c r="D5" s="5" t="inlineStr">
        <is>
          <t>Яндекс</t>
        </is>
      </c>
      <c r="E5" s="6" t="n">
        <v>12</v>
      </c>
      <c r="F5" s="7" t="n">
        <v>3453</v>
      </c>
      <c r="G5" s="7" t="n">
        <v>3553.5</v>
      </c>
      <c r="H5" s="8" t="n">
        <v>-0.0283</v>
      </c>
      <c r="I5" s="9" t="n">
        <v>41436</v>
      </c>
      <c r="J5" s="10" t="n">
        <v>0.06081860825136902</v>
      </c>
      <c r="K5" s="11" t="inlineStr">
        <is>
          <t>Покупать</t>
        </is>
      </c>
      <c r="L5" s="7" t="n">
        <v>5816.5</v>
      </c>
      <c r="M5" s="12" t="n">
        <v>0.6845</v>
      </c>
      <c r="N5" s="13" t="inlineStr">
        <is>
          <t>4978 — 9000</t>
        </is>
      </c>
      <c r="O5" s="14" t="inlineStr">
        <is>
          <t>≈110+ (оценка)</t>
        </is>
      </c>
      <c r="P5" s="15" t="inlineStr">
        <is>
          <t>ожидается апрель 2027</t>
        </is>
      </c>
      <c r="Q5" s="16" t="n">
        <v>0.064</v>
      </c>
      <c r="R5" s="15" t="inlineStr">
        <is>
          <t>прогноз по истории</t>
        </is>
      </c>
      <c r="S5" s="17" t="inlineStr"/>
    </row>
    <row r="6">
      <c r="A6" s="4" t="n">
        <v>3</v>
      </c>
      <c r="B6" s="5" t="inlineStr">
        <is>
          <t>Акции</t>
        </is>
      </c>
      <c r="C6" s="5" t="inlineStr">
        <is>
          <t>T</t>
        </is>
      </c>
      <c r="D6" s="5" t="inlineStr">
        <is>
          <t>Т-Технологии</t>
        </is>
      </c>
      <c r="E6" s="6" t="n">
        <v>160</v>
      </c>
      <c r="F6" s="7" t="n">
        <v>275.94</v>
      </c>
      <c r="G6" s="7" t="n">
        <v>277.58</v>
      </c>
      <c r="H6" s="8" t="n">
        <v>-0.0059</v>
      </c>
      <c r="I6" s="9" t="n">
        <v>44150.4</v>
      </c>
      <c r="J6" s="10" t="n">
        <v>0.06480272906992091</v>
      </c>
      <c r="K6" s="11" t="inlineStr">
        <is>
          <t>Покупать</t>
        </is>
      </c>
      <c r="L6" s="7" t="n">
        <v>411.93</v>
      </c>
      <c r="M6" s="12" t="n">
        <v>0.4928</v>
      </c>
      <c r="N6" s="13" t="inlineStr">
        <is>
          <t>320 — 500</t>
        </is>
      </c>
      <c r="O6" s="5" t="n"/>
      <c r="P6" s="15" t="inlineStr">
        <is>
          <t>выплачен 12.10.2026 (4,7 ₽)</t>
        </is>
      </c>
      <c r="Q6" s="16" t="n">
        <v>0.063</v>
      </c>
      <c r="R6" s="15" t="inlineStr">
        <is>
          <t>выплачен</t>
        </is>
      </c>
      <c r="S6" s="17" t="inlineStr"/>
    </row>
    <row r="7">
      <c r="A7" s="4" t="n">
        <v>4</v>
      </c>
      <c r="B7" s="5" t="inlineStr">
        <is>
          <t>Акции</t>
        </is>
      </c>
      <c r="C7" s="5" t="inlineStr">
        <is>
          <t>X5</t>
        </is>
      </c>
      <c r="D7" s="5" t="inlineStr">
        <is>
          <t>Корпоративный Центр Икс 5</t>
        </is>
      </c>
      <c r="E7" s="6" t="n">
        <v>20</v>
      </c>
      <c r="F7" s="7" t="n">
        <v>2359</v>
      </c>
      <c r="G7" s="7" t="n">
        <v>2347.5</v>
      </c>
      <c r="H7" s="18" t="n">
        <v>0.0049</v>
      </c>
      <c r="I7" s="9" t="n">
        <v>47180</v>
      </c>
      <c r="J7" s="10" t="n">
        <v>0.06924949168113695</v>
      </c>
      <c r="K7" s="11" t="inlineStr">
        <is>
          <t>Покупать</t>
        </is>
      </c>
      <c r="L7" s="7" t="n">
        <v>2861.3</v>
      </c>
      <c r="M7" s="12" t="n">
        <v>0.2129</v>
      </c>
      <c r="N7" s="13" t="inlineStr">
        <is>
          <t>2160 — 3800</t>
        </is>
      </c>
      <c r="O7" s="14" t="inlineStr">
        <is>
          <t>не объявлен</t>
        </is>
      </c>
      <c r="P7" s="15" t="inlineStr">
        <is>
          <t>ожидается январь 2027</t>
        </is>
      </c>
      <c r="Q7" s="16" t="n">
        <v>0.26</v>
      </c>
      <c r="R7" s="15" t="inlineStr">
        <is>
          <t>прогноз сроков</t>
        </is>
      </c>
      <c r="S7" s="17" t="inlineStr"/>
    </row>
    <row r="8">
      <c r="A8" s="4" t="n">
        <v>5</v>
      </c>
      <c r="B8" s="5" t="inlineStr">
        <is>
          <t>Акции</t>
        </is>
      </c>
      <c r="C8" s="5" t="inlineStr">
        <is>
          <t>GAZP</t>
        </is>
      </c>
      <c r="D8" s="5" t="inlineStr">
        <is>
          <t>Газпром</t>
        </is>
      </c>
      <c r="E8" s="6" t="n">
        <v>270</v>
      </c>
      <c r="F8" s="7" t="n">
        <v>114.81</v>
      </c>
      <c r="G8" s="7" t="n">
        <v>116.8</v>
      </c>
      <c r="H8" s="8" t="n">
        <v>-0.017</v>
      </c>
      <c r="I8" s="9" t="n">
        <v>30998.7</v>
      </c>
      <c r="J8" s="10" t="n">
        <v>0.04549902962645316</v>
      </c>
      <c r="K8" s="19" t="inlineStr">
        <is>
          <t>Держать</t>
        </is>
      </c>
      <c r="L8" s="7" t="n">
        <v>140.49</v>
      </c>
      <c r="M8" s="12" t="n">
        <v>0.2237</v>
      </c>
      <c r="N8" s="13" t="inlineStr">
        <is>
          <t>110 — 183.4</t>
        </is>
      </c>
      <c r="O8" s="5" t="n"/>
      <c r="P8" s="13" t="inlineStr">
        <is>
          <t>—</t>
        </is>
      </c>
      <c r="Q8" s="5" t="n"/>
      <c r="R8" s="15" t="inlineStr">
        <is>
          <t>без выплат с 2022</t>
        </is>
      </c>
      <c r="S8" s="17" t="inlineStr"/>
    </row>
    <row r="9">
      <c r="A9" s="4" t="n">
        <v>6</v>
      </c>
      <c r="B9" s="5" t="inlineStr">
        <is>
          <t>Акции</t>
        </is>
      </c>
      <c r="C9" s="5" t="inlineStr">
        <is>
          <t>LKOH</t>
        </is>
      </c>
      <c r="D9" s="5" t="inlineStr">
        <is>
          <t>ЛУКОЙЛ</t>
        </is>
      </c>
      <c r="E9" s="6" t="n">
        <v>4</v>
      </c>
      <c r="F9" s="7" t="n">
        <v>6243.5</v>
      </c>
      <c r="G9" s="7" t="n">
        <v>6291.5</v>
      </c>
      <c r="H9" s="8" t="n">
        <v>-0.0076</v>
      </c>
      <c r="I9" s="9" t="n">
        <v>24974</v>
      </c>
      <c r="J9" s="10" t="n">
        <v>0.03665614254439835</v>
      </c>
      <c r="K9" s="11" t="inlineStr">
        <is>
          <t>Покупать</t>
        </is>
      </c>
      <c r="L9" s="7" t="n">
        <v>6221.5</v>
      </c>
      <c r="M9" s="20" t="n">
        <v>-0.0035</v>
      </c>
      <c r="N9" s="13" t="inlineStr">
        <is>
          <t>5500 — 7100</t>
        </is>
      </c>
      <c r="O9" s="14" t="inlineStr">
        <is>
          <t>не объявлен (2026: 397+278 ₽)</t>
        </is>
      </c>
      <c r="P9" s="15" t="inlineStr">
        <is>
          <t>ожидается дек. 2026 — янв. 2027</t>
        </is>
      </c>
      <c r="Q9" s="16" t="n">
        <v>0.108</v>
      </c>
      <c r="R9" s="15" t="inlineStr">
        <is>
          <t>прогноз сроков</t>
        </is>
      </c>
      <c r="S9" s="17" t="inlineStr"/>
    </row>
    <row r="10">
      <c r="A10" s="4" t="n">
        <v>7</v>
      </c>
      <c r="B10" s="5" t="inlineStr">
        <is>
          <t>Акции</t>
        </is>
      </c>
      <c r="C10" s="5" t="inlineStr">
        <is>
          <t>MOEX</t>
        </is>
      </c>
      <c r="D10" s="5" t="inlineStr">
        <is>
          <t>Московская Биржа (докуплено)</t>
        </is>
      </c>
      <c r="E10" s="6" t="n">
        <v>170</v>
      </c>
      <c r="F10" s="7" t="n">
        <v>165.79</v>
      </c>
      <c r="G10" s="7" t="n">
        <v>161.86</v>
      </c>
      <c r="H10" s="18" t="n">
        <v>0.0243</v>
      </c>
      <c r="I10" s="9" t="n">
        <v>28184.3</v>
      </c>
      <c r="J10" s="10" t="n">
        <v>0.04136813158941644</v>
      </c>
      <c r="K10" s="19" t="inlineStr">
        <is>
          <t>Держать</t>
        </is>
      </c>
      <c r="L10" s="7" t="n">
        <v>197.57</v>
      </c>
      <c r="M10" s="12" t="n">
        <v>0.1917</v>
      </c>
      <c r="N10" s="13" t="inlineStr">
        <is>
          <t>165 — 250</t>
        </is>
      </c>
      <c r="O10" s="14" t="inlineStr">
        <is>
          <t>≈20 (оценка)</t>
        </is>
      </c>
      <c r="P10" s="15" t="inlineStr">
        <is>
          <t>ожидается июль 2027</t>
        </is>
      </c>
      <c r="Q10" s="16" t="n">
        <v>0.118</v>
      </c>
      <c r="R10" s="15" t="inlineStr">
        <is>
          <t>прогноз по истории</t>
        </is>
      </c>
      <c r="S10" s="17" t="inlineStr"/>
    </row>
    <row r="11">
      <c r="A11" s="4" t="n">
        <v>8</v>
      </c>
      <c r="B11" s="5" t="inlineStr">
        <is>
          <t>Акции</t>
        </is>
      </c>
      <c r="C11" s="5" t="inlineStr">
        <is>
          <t>TRNFP</t>
        </is>
      </c>
      <c r="D11" s="5" t="inlineStr">
        <is>
          <t>Транснефть-п (докуплено)</t>
        </is>
      </c>
      <c r="E11" s="6" t="n">
        <v>29</v>
      </c>
      <c r="F11" s="7" t="n">
        <v>1061</v>
      </c>
      <c r="G11" s="7" t="n">
        <v>1077.8</v>
      </c>
      <c r="H11" s="8" t="n">
        <v>-0.0156</v>
      </c>
      <c r="I11" s="9" t="n">
        <v>30769</v>
      </c>
      <c r="J11" s="10" t="n">
        <v>0.04516188235559353</v>
      </c>
      <c r="K11" s="11" t="inlineStr">
        <is>
          <t>Покупать</t>
        </is>
      </c>
      <c r="L11" s="7" t="n">
        <v>1500</v>
      </c>
      <c r="M11" s="12" t="n">
        <v>0.4138</v>
      </c>
      <c r="N11" s="13" t="inlineStr">
        <is>
          <t>1300 — 1700</t>
        </is>
      </c>
      <c r="O11" s="14" t="inlineStr">
        <is>
          <t>≈200+ (оценка)</t>
        </is>
      </c>
      <c r="P11" s="15" t="inlineStr">
        <is>
          <t>ожидается июль 2027</t>
        </is>
      </c>
      <c r="Q11" s="16" t="n">
        <v>0.192</v>
      </c>
      <c r="R11" s="15" t="inlineStr">
        <is>
          <t>прогноз по истории</t>
        </is>
      </c>
      <c r="S11" s="17" t="inlineStr"/>
    </row>
    <row r="12">
      <c r="A12" s="4" t="n">
        <v>9</v>
      </c>
      <c r="B12" s="5" t="inlineStr">
        <is>
          <t>Акции</t>
        </is>
      </c>
      <c r="C12" s="5" t="inlineStr">
        <is>
          <t>OZON</t>
        </is>
      </c>
      <c r="D12" s="5" t="inlineStr">
        <is>
          <t>Озон</t>
        </is>
      </c>
      <c r="E12" s="6" t="n">
        <v>6</v>
      </c>
      <c r="F12" s="7" t="n">
        <v>3835</v>
      </c>
      <c r="G12" s="7" t="n">
        <v>3774</v>
      </c>
      <c r="H12" s="18" t="n">
        <v>0.0162</v>
      </c>
      <c r="I12" s="9" t="n">
        <v>23010</v>
      </c>
      <c r="J12" s="10" t="n">
        <v>0.03377343797335653</v>
      </c>
      <c r="K12" s="11" t="inlineStr">
        <is>
          <t>Покупать</t>
        </is>
      </c>
      <c r="L12" s="7" t="n">
        <v>5458.75</v>
      </c>
      <c r="M12" s="12" t="n">
        <v>0.4234000000000001</v>
      </c>
      <c r="N12" s="13" t="inlineStr">
        <is>
          <t>4700 — 6800</t>
        </is>
      </c>
      <c r="O12" s="14" t="inlineStr">
        <is>
          <t>не объявлен (2026: 70 ₽)</t>
        </is>
      </c>
      <c r="P12" s="15" t="inlineStr">
        <is>
          <t>ожидается в 2027</t>
        </is>
      </c>
      <c r="Q12" s="16" t="n">
        <v>0.05599999999999999</v>
      </c>
      <c r="R12" s="15" t="inlineStr">
        <is>
          <t>прогноз сроков</t>
        </is>
      </c>
      <c r="S12" s="17" t="inlineStr"/>
    </row>
    <row r="13">
      <c r="A13" s="4" t="n">
        <v>10</v>
      </c>
      <c r="B13" s="5" t="inlineStr">
        <is>
          <t>Акции</t>
        </is>
      </c>
      <c r="C13" s="5" t="inlineStr">
        <is>
          <t>GMKN</t>
        </is>
      </c>
      <c r="D13" s="5" t="inlineStr">
        <is>
          <t>Норникель</t>
        </is>
      </c>
      <c r="E13" s="6" t="n">
        <v>180</v>
      </c>
      <c r="F13" s="7" t="n">
        <v>114.32</v>
      </c>
      <c r="G13" s="7" t="n">
        <v>115.1</v>
      </c>
      <c r="H13" s="8" t="n">
        <v>-0.0068</v>
      </c>
      <c r="I13" s="9" t="n">
        <v>20577.6</v>
      </c>
      <c r="J13" s="10" t="n">
        <v>0.03020322891093183</v>
      </c>
      <c r="K13" s="11" t="inlineStr">
        <is>
          <t>Покупать</t>
        </is>
      </c>
      <c r="L13" s="7" t="n">
        <v>156</v>
      </c>
      <c r="M13" s="12" t="n">
        <v>0.3646</v>
      </c>
      <c r="N13" s="13" t="inlineStr">
        <is>
          <t>121 — 195</t>
        </is>
      </c>
      <c r="O13" s="5" t="n"/>
      <c r="P13" s="15" t="inlineStr">
        <is>
          <t>выплачен 12.10.2026 (1,85 ₽)</t>
        </is>
      </c>
      <c r="Q13" s="16" t="n">
        <v>0.016</v>
      </c>
      <c r="R13" s="15" t="inlineStr">
        <is>
          <t>выплачен</t>
        </is>
      </c>
      <c r="S13" s="17" t="inlineStr"/>
    </row>
    <row r="14">
      <c r="A14" s="4" t="n">
        <v>11</v>
      </c>
      <c r="B14" s="5" t="inlineStr">
        <is>
          <t>Акции</t>
        </is>
      </c>
      <c r="C14" s="5" t="inlineStr">
        <is>
          <t>MSRS</t>
        </is>
      </c>
      <c r="D14" s="5" t="inlineStr">
        <is>
          <t>Россети Моск. регион (докуплено)</t>
        </is>
      </c>
      <c r="E14" s="6" t="n">
        <v>12000</v>
      </c>
      <c r="F14" s="7" t="n">
        <v>1.7665</v>
      </c>
      <c r="G14" s="7" t="n">
        <v>1.798</v>
      </c>
      <c r="H14" s="8" t="n">
        <v>-0.0175</v>
      </c>
      <c r="I14" s="9" t="n">
        <v>21198</v>
      </c>
      <c r="J14" s="10" t="n">
        <v>0.03111383477441164</v>
      </c>
      <c r="K14" s="11" t="inlineStr">
        <is>
          <t>Покупать</t>
        </is>
      </c>
      <c r="L14" s="7" t="n">
        <v>2.06</v>
      </c>
      <c r="M14" s="12" t="n">
        <v>0.1661</v>
      </c>
      <c r="N14" s="13" t="inlineStr">
        <is>
          <t>2.07 — 2.07</t>
        </is>
      </c>
      <c r="O14" s="14" t="inlineStr">
        <is>
          <t>≈0,19 (оценка)</t>
        </is>
      </c>
      <c r="P14" s="15" t="inlineStr">
        <is>
          <t>ожидается июль 2027</t>
        </is>
      </c>
      <c r="Q14" s="16" t="n">
        <v>0.106</v>
      </c>
      <c r="R14" s="15" t="inlineStr">
        <is>
          <t>прогноз по истории</t>
        </is>
      </c>
      <c r="S14" s="17" t="inlineStr"/>
    </row>
    <row r="15">
      <c r="A15" s="4" t="n">
        <v>12</v>
      </c>
      <c r="B15" s="5" t="inlineStr">
        <is>
          <t>Акции</t>
        </is>
      </c>
      <c r="C15" s="5" t="inlineStr">
        <is>
          <t>SIBN</t>
        </is>
      </c>
      <c r="D15" s="5" t="inlineStr">
        <is>
          <t>Газпром нефть</t>
        </is>
      </c>
      <c r="E15" s="6" t="n">
        <v>35</v>
      </c>
      <c r="F15" s="7" t="n">
        <v>569.35</v>
      </c>
      <c r="G15" s="7" t="n">
        <v>577.3</v>
      </c>
      <c r="H15" s="8" t="n">
        <v>-0.0138</v>
      </c>
      <c r="I15" s="9" t="n">
        <v>19927.25</v>
      </c>
      <c r="J15" s="10" t="n">
        <v>0.02924866327051582</v>
      </c>
      <c r="K15" s="19" t="inlineStr">
        <is>
          <t>Держать</t>
        </is>
      </c>
      <c r="L15" s="7" t="n">
        <v>563.15</v>
      </c>
      <c r="M15" s="20" t="n">
        <v>-0.0109</v>
      </c>
      <c r="N15" s="13" t="inlineStr">
        <is>
          <t>484 — 660</t>
        </is>
      </c>
      <c r="O15" s="5" t="n"/>
      <c r="P15" s="15" t="inlineStr">
        <is>
          <t>отсечка 13.10.2026 (42,51 ₽), выплата в конце октября</t>
        </is>
      </c>
      <c r="Q15" s="16" t="n">
        <v>0.124</v>
      </c>
      <c r="R15" s="15" t="inlineStr">
        <is>
          <t>зафиксирован</t>
        </is>
      </c>
      <c r="S15" s="17" t="inlineStr"/>
    </row>
    <row r="16">
      <c r="A16" s="4" t="n">
        <v>13</v>
      </c>
      <c r="B16" s="5" t="inlineStr">
        <is>
          <t>Акции</t>
        </is>
      </c>
      <c r="C16" s="5" t="inlineStr">
        <is>
          <t>PHOR</t>
        </is>
      </c>
      <c r="D16" s="5" t="inlineStr">
        <is>
          <t>ФосАгро</t>
        </is>
      </c>
      <c r="E16" s="6" t="n">
        <v>4</v>
      </c>
      <c r="F16" s="7" t="n">
        <v>5486</v>
      </c>
      <c r="G16" s="7" t="n">
        <v>5590</v>
      </c>
      <c r="H16" s="8" t="n">
        <v>-0.0186</v>
      </c>
      <c r="I16" s="9" t="n">
        <v>21944</v>
      </c>
      <c r="J16" s="10" t="n">
        <v>0.03220879282430837</v>
      </c>
      <c r="K16" s="19" t="inlineStr">
        <is>
          <t>Держать</t>
        </is>
      </c>
      <c r="L16" s="7" t="n">
        <v>6186.37</v>
      </c>
      <c r="M16" s="12" t="n">
        <v>0.1277</v>
      </c>
      <c r="N16" s="13" t="inlineStr">
        <is>
          <t>3600 — 8000</t>
        </is>
      </c>
      <c r="O16" s="14" t="inlineStr">
        <is>
          <t>не объявлен</t>
        </is>
      </c>
      <c r="P16" s="15" t="inlineStr">
        <is>
          <t>пауза после октября 2025 (273 ₽)</t>
        </is>
      </c>
      <c r="Q16" s="5" t="n"/>
      <c r="R16" s="15" t="inlineStr">
        <is>
          <t>не объявлен</t>
        </is>
      </c>
      <c r="S16" s="17" t="inlineStr"/>
    </row>
    <row r="17">
      <c r="A17" s="4" t="n">
        <v>14</v>
      </c>
      <c r="B17" s="5" t="inlineStr">
        <is>
          <t>Акции</t>
        </is>
      </c>
      <c r="C17" s="5" t="inlineStr">
        <is>
          <t>BANEP</t>
        </is>
      </c>
      <c r="D17" s="5" t="inlineStr">
        <is>
          <t>Башнефть-п</t>
        </is>
      </c>
      <c r="E17" s="6" t="n">
        <v>39</v>
      </c>
      <c r="F17" s="7" t="n">
        <v>803.5</v>
      </c>
      <c r="G17" s="7" t="n">
        <v>808</v>
      </c>
      <c r="H17" s="8" t="n">
        <v>-0.005600000000000001</v>
      </c>
      <c r="I17" s="9" t="n">
        <v>31336.5</v>
      </c>
      <c r="J17" s="10" t="n">
        <v>0.04599484307049487</v>
      </c>
      <c r="K17" s="19" t="inlineStr">
        <is>
          <t>Держать</t>
        </is>
      </c>
      <c r="L17" s="7" t="n">
        <v>933</v>
      </c>
      <c r="M17" s="12" t="n">
        <v>0.1612</v>
      </c>
      <c r="N17" s="13" t="inlineStr">
        <is>
          <t>760 — 1227</t>
        </is>
      </c>
      <c r="O17" s="14" t="inlineStr">
        <is>
          <t>≈70 (оценка)</t>
        </is>
      </c>
      <c r="P17" s="15" t="inlineStr">
        <is>
          <t>ожидается июль 2027</t>
        </is>
      </c>
      <c r="Q17" s="16" t="n">
        <v>0.08599999999999999</v>
      </c>
      <c r="R17" s="15" t="inlineStr">
        <is>
          <t>прогноз по истории</t>
        </is>
      </c>
      <c r="S17" s="17" t="inlineStr"/>
    </row>
    <row r="18">
      <c r="A18" s="4" t="n">
        <v>15</v>
      </c>
      <c r="B18" s="5" t="inlineStr">
        <is>
          <t>Акции</t>
        </is>
      </c>
      <c r="C18" s="5" t="inlineStr">
        <is>
          <t>MTSS</t>
        </is>
      </c>
      <c r="D18" s="5" t="inlineStr">
        <is>
          <t>МТС</t>
        </is>
      </c>
      <c r="E18" s="6" t="n">
        <v>120</v>
      </c>
      <c r="F18" s="7" t="n">
        <v>177.7</v>
      </c>
      <c r="G18" s="7" t="n">
        <v>179.1</v>
      </c>
      <c r="H18" s="8" t="n">
        <v>-0.007800000000000001</v>
      </c>
      <c r="I18" s="9" t="n">
        <v>21324</v>
      </c>
      <c r="J18" s="10" t="n">
        <v>0.0312987740697025</v>
      </c>
      <c r="K18" s="11" t="inlineStr">
        <is>
          <t>Покупать</t>
        </is>
      </c>
      <c r="L18" s="7" t="n">
        <v>242.55</v>
      </c>
      <c r="M18" s="12" t="n">
        <v>0.3649</v>
      </c>
      <c r="N18" s="13" t="inlineStr">
        <is>
          <t>160 — 300</t>
        </is>
      </c>
      <c r="O18" s="14" t="inlineStr">
        <is>
          <t>≈35 (оценка)</t>
        </is>
      </c>
      <c r="P18" s="15" t="inlineStr">
        <is>
          <t>ожидается июль 2027</t>
        </is>
      </c>
      <c r="Q18" s="16" t="n">
        <v>0.197</v>
      </c>
      <c r="R18" s="15" t="inlineStr">
        <is>
          <t>прогноз по истории</t>
        </is>
      </c>
      <c r="S18" s="17" t="inlineStr"/>
    </row>
    <row r="19">
      <c r="A19" s="4" t="n">
        <v>16</v>
      </c>
      <c r="B19" s="5" t="inlineStr">
        <is>
          <t>Акции</t>
        </is>
      </c>
      <c r="C19" s="5" t="inlineStr">
        <is>
          <t>FESH</t>
        </is>
      </c>
      <c r="D19" s="5" t="inlineStr">
        <is>
          <t>ДВМП (FESCO)</t>
        </is>
      </c>
      <c r="E19" s="6" t="n">
        <v>314</v>
      </c>
      <c r="F19" s="7" t="n">
        <v>71.22</v>
      </c>
      <c r="G19" s="7" t="n">
        <v>71.36</v>
      </c>
      <c r="H19" s="8" t="n">
        <v>-0.002</v>
      </c>
      <c r="I19" s="9" t="n">
        <v>22363.08</v>
      </c>
      <c r="J19" s="10" t="n">
        <v>0.03282390679153455</v>
      </c>
      <c r="K19" s="11" t="inlineStr">
        <is>
          <t>Покупать</t>
        </is>
      </c>
      <c r="L19" s="7" t="n">
        <v>80</v>
      </c>
      <c r="M19" s="12" t="n">
        <v>0.1233</v>
      </c>
      <c r="N19" s="13" t="inlineStr">
        <is>
          <t>80 — 80</t>
        </is>
      </c>
      <c r="O19" s="5" t="n"/>
      <c r="P19" s="13" t="inlineStr">
        <is>
          <t>—</t>
        </is>
      </c>
      <c r="Q19" s="5" t="n"/>
      <c r="R19" s="15" t="inlineStr">
        <is>
          <t>дивидендов нет</t>
        </is>
      </c>
      <c r="S19" s="17" t="inlineStr"/>
    </row>
    <row r="20">
      <c r="A20" s="4" t="n">
        <v>17</v>
      </c>
      <c r="B20" s="5" t="inlineStr">
        <is>
          <t>Акции</t>
        </is>
      </c>
      <c r="C20" s="5" t="inlineStr">
        <is>
          <t>MRKU</t>
        </is>
      </c>
      <c r="D20" s="5" t="inlineStr">
        <is>
          <t>Россети Урал</t>
        </is>
      </c>
      <c r="E20" s="6" t="n">
        <v>30000</v>
      </c>
      <c r="F20" s="21" t="n">
        <v>0.6734</v>
      </c>
      <c r="G20" s="21" t="n">
        <v>0.6982</v>
      </c>
      <c r="H20" s="8" t="n">
        <v>-0.0355</v>
      </c>
      <c r="I20" s="9" t="n">
        <v>20202</v>
      </c>
      <c r="J20" s="10" t="n">
        <v>0.02965193367830285</v>
      </c>
      <c r="K20" s="11" t="inlineStr">
        <is>
          <t>Покупать</t>
        </is>
      </c>
      <c r="L20" s="21" t="n">
        <v>0.7</v>
      </c>
      <c r="M20" s="12" t="n">
        <v>0.0395</v>
      </c>
      <c r="N20" s="13" t="inlineStr">
        <is>
          <t>0.702 — 0.702</t>
        </is>
      </c>
      <c r="O20" s="14" t="inlineStr">
        <is>
          <t>≈0,06 (оценка)</t>
        </is>
      </c>
      <c r="P20" s="15" t="inlineStr">
        <is>
          <t>ожидается июнь–июль 2027</t>
        </is>
      </c>
      <c r="Q20" s="16" t="n">
        <v>0.091</v>
      </c>
      <c r="R20" s="15" t="inlineStr">
        <is>
          <t>прогноз по истории</t>
        </is>
      </c>
      <c r="S20" s="17" t="inlineStr"/>
    </row>
    <row r="21">
      <c r="A21" s="4" t="n">
        <v>18</v>
      </c>
      <c r="B21" s="5" t="inlineStr">
        <is>
          <t>Акции</t>
        </is>
      </c>
      <c r="C21" s="5" t="inlineStr">
        <is>
          <t>NLMK</t>
        </is>
      </c>
      <c r="D21" s="5" t="inlineStr">
        <is>
          <t>НЛМК</t>
        </is>
      </c>
      <c r="E21" s="6" t="n">
        <v>400</v>
      </c>
      <c r="F21" s="7" t="n">
        <v>74.48</v>
      </c>
      <c r="G21" s="7" t="n">
        <v>75.56</v>
      </c>
      <c r="H21" s="8" t="n">
        <v>-0.0143</v>
      </c>
      <c r="I21" s="9" t="n">
        <v>29792</v>
      </c>
      <c r="J21" s="10" t="n">
        <v>0.04372786893099686</v>
      </c>
      <c r="K21" s="19" t="inlineStr">
        <is>
          <t>Держать</t>
        </is>
      </c>
      <c r="L21" s="7" t="n">
        <v>88.28</v>
      </c>
      <c r="M21" s="12" t="n">
        <v>0.1853</v>
      </c>
      <c r="N21" s="13" t="inlineStr">
        <is>
          <t>70 — 109</t>
        </is>
      </c>
      <c r="O21" s="5" t="n"/>
      <c r="P21" s="13" t="inlineStr">
        <is>
          <t>—</t>
        </is>
      </c>
      <c r="Q21" s="5" t="n"/>
      <c r="R21" s="15" t="inlineStr">
        <is>
          <t>без выплат с мая 2024</t>
        </is>
      </c>
      <c r="S21" s="17" t="inlineStr"/>
    </row>
    <row r="22">
      <c r="A22" s="4" t="n">
        <v>19</v>
      </c>
      <c r="B22" s="5" t="inlineStr">
        <is>
          <t>Акции</t>
        </is>
      </c>
      <c r="C22" s="5" t="inlineStr">
        <is>
          <t>FEES</t>
        </is>
      </c>
      <c r="D22" s="5" t="inlineStr">
        <is>
          <t>ФСК Россети</t>
        </is>
      </c>
      <c r="E22" s="6" t="n">
        <v>470000</v>
      </c>
      <c r="F22" s="21" t="n">
        <v>0.06496</v>
      </c>
      <c r="G22" s="21" t="n">
        <v>0.06451999999999999</v>
      </c>
      <c r="H22" s="18" t="n">
        <v>0.0068</v>
      </c>
      <c r="I22" s="9" t="n">
        <v>30531.2</v>
      </c>
      <c r="J22" s="10" t="n">
        <v>0.04481284613003663</v>
      </c>
      <c r="K22" s="22" t="inlineStr">
        <is>
          <t>нет прогноза</t>
        </is>
      </c>
      <c r="L22" s="5" t="n"/>
      <c r="M22" s="5" t="n"/>
      <c r="N22" s="13" t="n"/>
      <c r="O22" s="5" t="n"/>
      <c r="P22" s="13" t="inlineStr">
        <is>
          <t>—</t>
        </is>
      </c>
      <c r="Q22" s="5" t="n"/>
      <c r="R22" s="15" t="inlineStr">
        <is>
          <t>без выплат с 2021</t>
        </is>
      </c>
      <c r="S22" s="17" t="inlineStr">
        <is>
          <t>У Т-Банка и Интерфакса сводного прогноза нет. БКС (12.10.2026): Негативный, цель 0,05 ₽ до 12.10.2027 (−9,2% к текущей). Дивидендов не платит с 2021 г.</t>
        </is>
      </c>
    </row>
    <row r="23">
      <c r="A23" s="4" t="n">
        <v>20</v>
      </c>
      <c r="B23" s="5" t="inlineStr">
        <is>
          <t>Акции</t>
        </is>
      </c>
      <c r="C23" s="5" t="inlineStr">
        <is>
          <t>PLZL</t>
        </is>
      </c>
      <c r="D23" s="5" t="inlineStr">
        <is>
          <t>Полюс</t>
        </is>
      </c>
      <c r="E23" s="6" t="n">
        <v>19</v>
      </c>
      <c r="F23" s="7" t="n">
        <v>1051.6</v>
      </c>
      <c r="G23" s="7" t="n">
        <v>1098.4</v>
      </c>
      <c r="H23" s="8" t="n">
        <v>-0.0426</v>
      </c>
      <c r="I23" s="9" t="n">
        <v>19980.4</v>
      </c>
      <c r="J23" s="10" t="n">
        <v>0.0293266753621405</v>
      </c>
      <c r="K23" s="19" t="inlineStr">
        <is>
          <t>Держать</t>
        </is>
      </c>
      <c r="L23" s="7" t="n">
        <v>1341.8</v>
      </c>
      <c r="M23" s="12" t="n">
        <v>0.276</v>
      </c>
      <c r="N23" s="13" t="inlineStr">
        <is>
          <t>1000 — 1660</t>
        </is>
      </c>
      <c r="O23" s="14" t="inlineStr">
        <is>
          <t>≈30–40 (оценка)</t>
        </is>
      </c>
      <c r="P23" s="15" t="inlineStr">
        <is>
          <t>ожидается декабрь 2026</t>
        </is>
      </c>
      <c r="Q23" s="16" t="n">
        <v>0.116</v>
      </c>
      <c r="R23" s="15" t="inlineStr">
        <is>
          <t>прогноз по истории</t>
        </is>
      </c>
      <c r="S23" s="17" t="inlineStr"/>
    </row>
    <row r="24">
      <c r="A24" s="4" t="n">
        <v>21</v>
      </c>
      <c r="B24" s="5" t="inlineStr">
        <is>
          <t>Акции</t>
        </is>
      </c>
      <c r="C24" s="5" t="inlineStr">
        <is>
          <t>AFLT</t>
        </is>
      </c>
      <c r="D24" s="5" t="inlineStr">
        <is>
          <t>Аэрофлот</t>
        </is>
      </c>
      <c r="E24" s="6" t="n">
        <v>540</v>
      </c>
      <c r="F24" s="7" t="n">
        <v>37.24</v>
      </c>
      <c r="G24" s="7" t="n">
        <v>38.05</v>
      </c>
      <c r="H24" s="8" t="n">
        <v>-0.0213</v>
      </c>
      <c r="I24" s="9" t="n">
        <v>20109.6</v>
      </c>
      <c r="J24" s="10" t="n">
        <v>0.02951631152842288</v>
      </c>
      <c r="K24" s="19" t="inlineStr">
        <is>
          <t>Держать</t>
        </is>
      </c>
      <c r="L24" s="7" t="n">
        <v>42.92</v>
      </c>
      <c r="M24" s="12" t="n">
        <v>0.1525</v>
      </c>
      <c r="N24" s="13" t="inlineStr">
        <is>
          <t>29 — 65</t>
        </is>
      </c>
      <c r="O24" s="14" t="inlineStr">
        <is>
          <t>≈5 (оценка)</t>
        </is>
      </c>
      <c r="P24" s="15" t="inlineStr">
        <is>
          <t>ожидается июль 2027</t>
        </is>
      </c>
      <c r="Q24" s="16" t="n">
        <v>0.142</v>
      </c>
      <c r="R24" s="15" t="inlineStr">
        <is>
          <t>прогноз по истории</t>
        </is>
      </c>
      <c r="S24" s="17" t="inlineStr"/>
    </row>
    <row r="25">
      <c r="A25" s="4" t="n">
        <v>22</v>
      </c>
      <c r="B25" s="5" t="inlineStr">
        <is>
          <t>Акции</t>
        </is>
      </c>
      <c r="C25" s="5" t="inlineStr">
        <is>
          <t>VTBR</t>
        </is>
      </c>
      <c r="D25" s="5" t="inlineStr">
        <is>
          <t>Банк ВТБ</t>
        </is>
      </c>
      <c r="E25" s="6" t="n">
        <v>463</v>
      </c>
      <c r="F25" s="7" t="n">
        <v>57.735</v>
      </c>
      <c r="G25" s="7" t="n">
        <v>57.95</v>
      </c>
      <c r="H25" s="8" t="n">
        <v>-0.0037</v>
      </c>
      <c r="I25" s="9" t="n">
        <v>26731.31</v>
      </c>
      <c r="J25" s="10" t="n">
        <v>0.0392354732825539</v>
      </c>
      <c r="K25" s="11" t="inlineStr">
        <is>
          <t>Покупать</t>
        </is>
      </c>
      <c r="L25" s="7" t="n">
        <v>89.55</v>
      </c>
      <c r="M25" s="12" t="n">
        <v>0.5511</v>
      </c>
      <c r="N25" s="13" t="inlineStr">
        <is>
          <t>65 — 125</t>
        </is>
      </c>
      <c r="O25" s="14" t="inlineStr">
        <is>
          <t>не объявлен (2026: 9,71 ₽)</t>
        </is>
      </c>
      <c r="P25" s="15" t="inlineStr">
        <is>
          <t>ожидается июль 2027</t>
        </is>
      </c>
      <c r="Q25" s="16" t="n">
        <v>0.168</v>
      </c>
      <c r="R25" s="15" t="inlineStr">
        <is>
          <t>прогноз сроков</t>
        </is>
      </c>
      <c r="S25" s="17" t="inlineStr"/>
    </row>
    <row r="26">
      <c r="A26" s="4" t="n">
        <v>23</v>
      </c>
      <c r="B26" s="5" t="inlineStr">
        <is>
          <t>Акции</t>
        </is>
      </c>
      <c r="C26" s="5" t="inlineStr">
        <is>
          <t>PMSB</t>
        </is>
      </c>
      <c r="D26" s="5" t="inlineStr">
        <is>
          <t>Пермэнергосбыт</t>
        </is>
      </c>
      <c r="E26" s="6" t="n">
        <v>50</v>
      </c>
      <c r="F26" s="7" t="n">
        <v>472.1</v>
      </c>
      <c r="G26" s="7" t="n">
        <v>487.8</v>
      </c>
      <c r="H26" s="8" t="n">
        <v>-0.0322</v>
      </c>
      <c r="I26" s="9" t="n">
        <v>23605</v>
      </c>
      <c r="J26" s="10" t="n">
        <v>0.03464676242334119</v>
      </c>
      <c r="K26" s="22" t="inlineStr">
        <is>
          <t>нет прогноза</t>
        </is>
      </c>
      <c r="L26" s="5" t="n"/>
      <c r="M26" s="5" t="n"/>
      <c r="N26" s="13" t="n"/>
      <c r="O26" s="14" t="inlineStr">
        <is>
          <t>≈20–30 (оценка, промежуточные)</t>
        </is>
      </c>
      <c r="P26" s="15" t="inlineStr">
        <is>
          <t>ожидается декабрь 2026</t>
        </is>
      </c>
      <c r="Q26" s="16" t="n">
        <v>0.123</v>
      </c>
      <c r="R26" s="15" t="inlineStr">
        <is>
          <t>прогноз по истории</t>
        </is>
      </c>
      <c r="S26" s="17" t="inlineStr">
        <is>
          <t>У Т-Банка и Интерфакса сводного прогноза нет (3-й эшелон). Инвестидеи БКС (авг. 2026): цели 319–380 ₽ — рынок уже выше (~435 ₽ на 14.10). Дивидендная история: за 2025 г. 32 ₽ (~7,4%).</t>
        </is>
      </c>
    </row>
    <row r="27">
      <c r="A27" s="4" t="n">
        <v>24</v>
      </c>
      <c r="B27" s="5" t="inlineStr">
        <is>
          <t>Акции</t>
        </is>
      </c>
      <c r="C27" s="5" t="inlineStr">
        <is>
          <t>MVID</t>
        </is>
      </c>
      <c r="D27" s="5" t="inlineStr">
        <is>
          <t>М.Видео</t>
        </is>
      </c>
      <c r="E27" s="6" t="n">
        <v>170</v>
      </c>
      <c r="F27" s="7" t="n">
        <v>43.05</v>
      </c>
      <c r="G27" s="7" t="n">
        <v>43.25</v>
      </c>
      <c r="H27" s="8" t="n">
        <v>-0.0046</v>
      </c>
      <c r="I27" s="9" t="n">
        <v>7318.5</v>
      </c>
      <c r="J27" s="10" t="n">
        <v>0.01074189073481138</v>
      </c>
      <c r="K27" s="19" t="inlineStr">
        <is>
          <t>Держать</t>
        </is>
      </c>
      <c r="L27" s="7" t="n">
        <v>42.5</v>
      </c>
      <c r="M27" s="20" t="n">
        <v>-0.0128</v>
      </c>
      <c r="N27" s="13" t="inlineStr">
        <is>
          <t>25 — 60</t>
        </is>
      </c>
      <c r="O27" s="5" t="n"/>
      <c r="P27" s="13" t="inlineStr">
        <is>
          <t>—</t>
        </is>
      </c>
      <c r="Q27" s="5" t="n"/>
      <c r="R27" s="15" t="inlineStr">
        <is>
          <t>без выплат с 2021</t>
        </is>
      </c>
      <c r="S27" s="17" t="inlineStr"/>
    </row>
    <row r="28">
      <c r="A28" s="4" t="n">
        <v>25</v>
      </c>
      <c r="B28" s="5" t="inlineStr">
        <is>
          <t>Акции</t>
        </is>
      </c>
      <c r="C28" s="5" t="inlineStr">
        <is>
          <t>MTLRP</t>
        </is>
      </c>
      <c r="D28" s="5" t="inlineStr">
        <is>
          <t>Мечел-п</t>
        </is>
      </c>
      <c r="E28" s="6" t="n">
        <v>340</v>
      </c>
      <c r="F28" s="7" t="n">
        <v>43.6</v>
      </c>
      <c r="G28" s="7" t="n">
        <v>43.5</v>
      </c>
      <c r="H28" s="18" t="n">
        <v>0.0023</v>
      </c>
      <c r="I28" s="9" t="n">
        <v>14824</v>
      </c>
      <c r="J28" s="10" t="n">
        <v>0.02175825486818936</v>
      </c>
      <c r="K28" s="19" t="inlineStr">
        <is>
          <t>Держать</t>
        </is>
      </c>
      <c r="L28" s="7" t="n">
        <v>50</v>
      </c>
      <c r="M28" s="12" t="n">
        <v>0.1468</v>
      </c>
      <c r="N28" s="13" t="inlineStr">
        <is>
          <t>35 — 80</t>
        </is>
      </c>
      <c r="O28" s="5" t="n"/>
      <c r="P28" s="13" t="inlineStr">
        <is>
          <t>—</t>
        </is>
      </c>
      <c r="Q28" s="5" t="n"/>
      <c r="R28" s="15" t="inlineStr">
        <is>
          <t>без выплат с 2021</t>
        </is>
      </c>
      <c r="S28" s="17" t="inlineStr"/>
    </row>
    <row r="29">
      <c r="A29" s="4" t="n">
        <v>32</v>
      </c>
      <c r="B29" s="5" t="inlineStr">
        <is>
          <t>Акции</t>
        </is>
      </c>
      <c r="C29" s="5" t="inlineStr">
        <is>
          <t>NVTK</t>
        </is>
      </c>
      <c r="D29" s="5" t="inlineStr">
        <is>
          <t>НОВАТЭК</t>
        </is>
      </c>
      <c r="E29" s="6" t="n">
        <v>10</v>
      </c>
      <c r="F29" s="7" t="n">
        <v>1162.5</v>
      </c>
      <c r="G29" s="7" t="n">
        <v>1197.8</v>
      </c>
      <c r="H29" s="8" t="n">
        <v>-0.0295</v>
      </c>
      <c r="I29" s="9" t="n">
        <v>11625</v>
      </c>
      <c r="J29" s="10" t="n">
        <v>0.01706285164886005</v>
      </c>
      <c r="K29" s="11" t="inlineStr">
        <is>
          <t>Покупать</t>
        </is>
      </c>
      <c r="L29" s="7" t="n">
        <v>1437.8</v>
      </c>
      <c r="M29" s="12" t="n">
        <v>0.2368</v>
      </c>
      <c r="N29" s="13" t="inlineStr">
        <is>
          <t>1100 — 1650</t>
        </is>
      </c>
      <c r="O29" s="14" t="inlineStr">
        <is>
          <t>≈45–50 (оценка)</t>
        </is>
      </c>
      <c r="P29" s="15" t="inlineStr">
        <is>
          <t>ожидается апрель 2027</t>
        </is>
      </c>
      <c r="Q29" s="5" t="n"/>
      <c r="R29" s="15" t="inlineStr">
        <is>
          <t>прогноз по истории</t>
        </is>
      </c>
      <c r="S29" s="17" t="inlineStr">
        <is>
          <t>Куплено 28.10.2026 (10 шт). Сводный прогноз Т-Банка от 28.10.2026: Покупать, цель 1 437,8 ₽, диапазон 1 100–1 650. Дивиденды 2 раза в год (апрель/октябрь): последние отсечки 12.10.2026 (35,5 ₽) и 13.04.2026 (47,23 ₽) — обе до покупки. Доходность за 12 мес ≈ 6,8% (82,73 ₽/акция).</t>
        </is>
      </c>
    </row>
    <row r="30">
      <c r="A30" s="23" t="inlineStr">
        <is>
          <t>ИТОГО АКЦИИ (26 позиций)</t>
        </is>
      </c>
      <c r="B30" s="24" t="n"/>
      <c r="C30" s="24" t="n"/>
      <c r="D30" s="24" t="n"/>
      <c r="E30" s="24" t="n"/>
      <c r="F30" s="24" t="n"/>
      <c r="G30" s="24" t="n"/>
      <c r="H30" s="24" t="n"/>
      <c r="I30" s="25" t="n">
        <v>681304.64</v>
      </c>
      <c r="J30" s="26" t="n">
        <v>0.4631199146331634</v>
      </c>
      <c r="K30" s="27" t="inlineStr">
        <is>
          <t>Срвзв. потенциал: +27.4% · Покупать 14 / Держать 10 / без прогноза 2</t>
        </is>
      </c>
      <c r="L30" s="28" t="n"/>
      <c r="M30" s="28" t="n"/>
      <c r="N30" s="28" t="n"/>
      <c r="O30" s="28" t="n"/>
      <c r="P30" s="28" t="n"/>
      <c r="Q30" s="28" t="n"/>
      <c r="R30" s="28" t="n"/>
      <c r="S30" s="28" t="n"/>
    </row>
    <row r="31">
      <c r="A31" s="4" t="n">
        <v>26</v>
      </c>
      <c r="B31" s="5" t="inlineStr">
        <is>
          <t>Фонды</t>
        </is>
      </c>
      <c r="C31" s="5" t="inlineStr">
        <is>
          <t>—</t>
        </is>
      </c>
      <c r="D31" s="5" t="inlineStr">
        <is>
          <t>ОПИФ «Флагманский»</t>
        </is>
      </c>
      <c r="E31" s="6" t="n">
        <v>341.3</v>
      </c>
      <c r="F31" s="7" t="n">
        <v>944.24</v>
      </c>
      <c r="G31" s="5" t="n"/>
      <c r="H31" s="5" t="n"/>
      <c r="I31" s="9" t="n">
        <v>322269.11</v>
      </c>
      <c r="J31" s="10" t="n">
        <v>0.4356079053043894</v>
      </c>
      <c r="K31" s="4" t="inlineStr">
        <is>
          <t>—</t>
        </is>
      </c>
      <c r="L31" s="5" t="n"/>
      <c r="M31" s="5" t="n"/>
      <c r="N31" s="13" t="n"/>
      <c r="O31" s="14" t="inlineStr">
        <is>
          <t>— (выплат нет)</t>
        </is>
      </c>
      <c r="P31" s="13" t="inlineStr">
        <is>
          <t>—</t>
        </is>
      </c>
      <c r="Q31" s="5" t="n"/>
      <c r="R31" s="13" t="inlineStr">
        <is>
          <t>—</t>
        </is>
      </c>
      <c r="S31" s="17" t="inlineStr">
        <is>
          <t>Целевых цен аналитиков на фонды нет. Перспектива = рынок акций и облигаций: Т-Инвестиции ждут IMOEX 2300–2500 п. к концу 2026 и 2600–2900 п. за 12 мес. Выплат нет — доход реинвестируется в пай.</t>
        </is>
      </c>
    </row>
    <row r="32">
      <c r="A32" s="4" t="n">
        <v>27</v>
      </c>
      <c r="B32" s="5" t="inlineStr">
        <is>
          <t>Фонды</t>
        </is>
      </c>
      <c r="C32" s="5" t="inlineStr">
        <is>
          <t>—</t>
        </is>
      </c>
      <c r="D32" s="5" t="inlineStr">
        <is>
          <t>ОПИФ «Рублевые перспективы»</t>
        </is>
      </c>
      <c r="E32" s="6" t="n">
        <v>146.3</v>
      </c>
      <c r="F32" s="7" t="n">
        <v>1731.01</v>
      </c>
      <c r="G32" s="5" t="n"/>
      <c r="H32" s="5" t="n"/>
      <c r="I32" s="9" t="n">
        <v>253246.76</v>
      </c>
      <c r="J32" s="10" t="n">
        <v>0.3423110910280028</v>
      </c>
      <c r="K32" s="4" t="inlineStr">
        <is>
          <t>—</t>
        </is>
      </c>
      <c r="L32" s="5" t="n"/>
      <c r="M32" s="5" t="n"/>
      <c r="N32" s="13" t="n"/>
      <c r="O32" s="14" t="inlineStr">
        <is>
          <t>— (выплат нет)</t>
        </is>
      </c>
      <c r="P32" s="13" t="inlineStr">
        <is>
          <t>—</t>
        </is>
      </c>
      <c r="Q32" s="5" t="n"/>
      <c r="R32" s="13" t="inlineStr">
        <is>
          <t>—</t>
        </is>
      </c>
      <c r="S32" s="17" t="inlineStr">
        <is>
          <t>Цель УК — «ключевая ставка +1–2%» ≈ 15–16% годовых при ставке 14%. При снижении ставки ЦБ — дополнительный рост за счёт переоценки облигаций. Выплат нет.</t>
        </is>
      </c>
    </row>
    <row r="33">
      <c r="A33" s="4" t="n">
        <v>28</v>
      </c>
      <c r="B33" s="5" t="inlineStr">
        <is>
          <t>Фонды</t>
        </is>
      </c>
      <c r="C33" s="5" t="inlineStr">
        <is>
          <t>—</t>
        </is>
      </c>
      <c r="D33" s="5" t="inlineStr">
        <is>
          <t>БПИФ «БКС Денежный рынок» (BCSD)</t>
        </is>
      </c>
      <c r="E33" s="6" t="n">
        <v>8530</v>
      </c>
      <c r="F33" s="7" t="n">
        <v>14.59</v>
      </c>
      <c r="G33" s="5" t="n"/>
      <c r="H33" s="5" t="n"/>
      <c r="I33" s="9" t="n">
        <v>124452.7</v>
      </c>
      <c r="J33" s="10" t="n">
        <v>0.1682214592533413</v>
      </c>
      <c r="K33" s="4" t="inlineStr">
        <is>
          <t>—</t>
        </is>
      </c>
      <c r="L33" s="5" t="n"/>
      <c r="M33" s="5" t="n"/>
      <c r="N33" s="13" t="n"/>
      <c r="O33" s="14" t="inlineStr">
        <is>
          <t>— (выплат нет)</t>
        </is>
      </c>
      <c r="P33" s="13" t="inlineStr">
        <is>
          <t>—</t>
        </is>
      </c>
      <c r="Q33" s="5" t="n"/>
      <c r="R33" s="13" t="inlineStr">
        <is>
          <t>—</t>
        </is>
      </c>
      <c r="S33" s="17" t="inlineStr">
        <is>
          <t>Доходность ≈ ключевая ставка минус комиссии (~13,5–14,5% годовых сейчас); при снижении ставки ЦБ будет постепенно падать. Просадок нет — «парковочный» актив.</t>
        </is>
      </c>
    </row>
    <row r="34">
      <c r="A34" s="4" t="n">
        <v>30</v>
      </c>
      <c r="B34" s="5" t="inlineStr">
        <is>
          <t>Фонды</t>
        </is>
      </c>
      <c r="C34" s="5" t="inlineStr">
        <is>
          <t>—</t>
        </is>
      </c>
      <c r="D34" s="5" t="inlineStr">
        <is>
          <t>БПИФ «Т-Капитал Денежный рынок» (TMON)</t>
        </is>
      </c>
      <c r="E34" s="6" t="n">
        <v>239</v>
      </c>
      <c r="F34" s="7" t="n">
        <v>166.72</v>
      </c>
      <c r="G34" s="5" t="n"/>
      <c r="H34" s="5" t="n"/>
      <c r="I34" s="9" t="n">
        <v>39846.08</v>
      </c>
      <c r="J34" s="10" t="n">
        <v>0.05385954441426646</v>
      </c>
      <c r="K34" s="4" t="inlineStr">
        <is>
          <t>—</t>
        </is>
      </c>
      <c r="L34" s="5" t="n"/>
      <c r="M34" s="5" t="n"/>
      <c r="N34" s="13" t="n"/>
      <c r="O34" s="14" t="inlineStr">
        <is>
          <t>— (выплат нет)</t>
        </is>
      </c>
      <c r="P34" s="13" t="inlineStr">
        <is>
          <t>—</t>
        </is>
      </c>
      <c r="Q34" s="5" t="n"/>
      <c r="R34" s="13" t="inlineStr">
        <is>
          <t>—</t>
        </is>
      </c>
      <c r="S34" s="17" t="inlineStr">
        <is>
          <t>Доходность ≈ ставка денежного рынка ON минус расходы (~13,5% годовых); за 1 год +14,7%. Дивиденды и купоны реинвестируются. Первые 2 пая куплены по 161,06 ₽; 08.10.2026 докуплено 180 паев по ~165,57 ₽; 12.10.2026 докуплено 220 паев по ~165,84 ₽ (новые средства) → 13.10.2026 продано 200 паев → 14.10.2026 продано 43 пая → 17.10.2026 переведено 130 000 ₽ с «Сэйва» и куплено 780 паев по ~165.96 ₽ → 21.10.2026 продано 150 паев → 27.10.2026 продано ещё 175 паев → 28.10.2026 продано 375 паев → позиция 239 паев. Аналог BCSD: при снижении ставки ЦБ доходность падает.</t>
        </is>
      </c>
    </row>
    <row r="35">
      <c r="A35" s="23" t="inlineStr">
        <is>
          <t>ИТОГО ФОНДЫ (4 позиции)</t>
        </is>
      </c>
      <c r="B35" s="24" t="n"/>
      <c r="C35" s="24" t="n"/>
      <c r="D35" s="24" t="n"/>
      <c r="E35" s="24" t="n"/>
      <c r="F35" s="24" t="n"/>
      <c r="G35" s="24" t="n"/>
      <c r="H35" s="24" t="n"/>
      <c r="I35" s="25" t="n">
        <v>739814.65</v>
      </c>
      <c r="J35" s="26" t="n">
        <v>0.5028923589194456</v>
      </c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</row>
    <row r="36">
      <c r="A36" s="5" t="n">
        <v>29</v>
      </c>
      <c r="B36" s="5" t="inlineStr">
        <is>
          <t>Cash</t>
        </is>
      </c>
      <c r="C36" s="5" t="inlineStr">
        <is>
          <t>—</t>
        </is>
      </c>
      <c r="D36" s="5" t="inlineStr">
        <is>
          <t>Яндекс Банк — денежный остаток</t>
        </is>
      </c>
      <c r="E36" s="5" t="n"/>
      <c r="F36" s="5" t="n"/>
      <c r="G36" s="5" t="n"/>
      <c r="H36" s="5" t="n"/>
      <c r="I36" s="9" t="n">
        <v>50000</v>
      </c>
      <c r="J36" s="10" t="n">
        <v>0.03398772644739095</v>
      </c>
      <c r="K36" s="4" t="inlineStr">
        <is>
          <t>—</t>
        </is>
      </c>
      <c r="L36" s="5" t="n"/>
      <c r="M36" s="5" t="n"/>
      <c r="N36" s="5" t="n"/>
      <c r="O36" s="5" t="inlineStr">
        <is>
          <t>—</t>
        </is>
      </c>
      <c r="P36" s="5" t="inlineStr">
        <is>
          <t>—</t>
        </is>
      </c>
      <c r="Q36" s="5" t="n"/>
      <c r="R36" s="5" t="inlineStr">
        <is>
          <t>—</t>
        </is>
      </c>
      <c r="S36" s="17" t="inlineStr">
        <is>
          <t>«Сейв» (Плюс): 10% брутто = ≈10,5% эфф. (капитализация ежедневно) → ≈440 ₽/мес на 50 тыс.; НДФЛ 0% — проценты в пределах безналогового лимита (1 млн × макс. ставка ≈ 140 тыс. ₽/год). С тратами картой Яндекса от 1 ₽/день → 13% (≈13,9% эфф., ≈2 080 ₽/мес, НДФЛ 0%). BCSD: ~13,5–14,5% брутто, но НДФЛ 13% с прибыли при продаже → чистыми ~11,8–12,6% (≈1 760–1 890 ₽/мес); без налога при владении 3+ года (ЛДВ) или на ИИС-3. Вывод: «Сейв» 13% чистыми выгоднее налогооблагаемого BCSD; «Сейв» 10% — проигрывает (~−250 ₽/мес)</t>
        </is>
      </c>
    </row>
    <row r="37">
      <c r="A37" s="23" t="inlineStr">
        <is>
          <t>ИТОГО CASH</t>
        </is>
      </c>
      <c r="B37" s="24" t="n"/>
      <c r="C37" s="24" t="n"/>
      <c r="D37" s="24" t="n"/>
      <c r="E37" s="24" t="n"/>
      <c r="F37" s="24" t="n"/>
      <c r="G37" s="24" t="n"/>
      <c r="H37" s="24" t="n"/>
      <c r="I37" s="25" t="n">
        <v>50000</v>
      </c>
      <c r="J37" s="26" t="n">
        <v>0.03398772644739095</v>
      </c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</row>
    <row r="38">
      <c r="A38" s="29" t="inlineStr">
        <is>
          <t>ИТОГО ПОРТФЕЛЬ (ликвидная часть)</t>
        </is>
      </c>
      <c r="B38" s="24" t="n"/>
      <c r="C38" s="24" t="n"/>
      <c r="D38" s="24" t="n"/>
      <c r="E38" s="24" t="n"/>
      <c r="F38" s="24" t="n"/>
      <c r="G38" s="24" t="n"/>
      <c r="H38" s="24" t="n"/>
      <c r="I38" s="30" t="n">
        <v>1471119.29</v>
      </c>
      <c r="J38" s="31" t="n">
        <v>1</v>
      </c>
      <c r="K38" s="32" t="n"/>
      <c r="L38" s="32" t="n"/>
      <c r="M38" s="32" t="n"/>
      <c r="N38" s="32" t="n"/>
      <c r="O38" s="33" t="inlineStr">
        <is>
          <t>Ближайших утверждённых отсечек нет</t>
        </is>
      </c>
      <c r="P38" s="32" t="n"/>
      <c r="Q38" s="32" t="n"/>
      <c r="R38" s="32" t="n"/>
      <c r="S38" s="32" t="n"/>
    </row>
    <row r="39">
      <c r="A39" s="5" t="inlineStr">
        <is>
          <t>—</t>
        </is>
      </c>
      <c r="B39" s="5" t="inlineStr">
        <is>
          <t>Cash (жена)</t>
        </is>
      </c>
      <c r="C39" s="5" t="inlineStr">
        <is>
          <t>—</t>
        </is>
      </c>
      <c r="D39" s="5" t="inlineStr">
        <is>
          <t>Сэйв — пенсионный счёт жены (Яндекс Банк)</t>
        </is>
      </c>
      <c r="E39" s="5" t="n"/>
      <c r="F39" s="5" t="n"/>
      <c r="G39" s="5" t="n"/>
      <c r="H39" s="5" t="n"/>
      <c r="I39" s="9" t="n">
        <v>605000</v>
      </c>
      <c r="J39" s="5" t="n"/>
      <c r="K39" s="5" t="inlineStr">
        <is>
          <t>—</t>
        </is>
      </c>
      <c r="L39" s="5" t="n"/>
      <c r="M39" s="5" t="n"/>
      <c r="N39" s="5" t="n"/>
      <c r="O39" s="5" t="inlineStr">
        <is>
          <t>—</t>
        </is>
      </c>
      <c r="P39" s="5" t="inlineStr">
        <is>
          <t>—</t>
        </is>
      </c>
      <c r="Q39" s="5" t="n"/>
      <c r="R39" s="5" t="inlineStr">
        <is>
          <t>—</t>
        </is>
      </c>
      <c r="S39" s="17" t="inlineStr">
        <is>
          <t>Отдельный блок: не учитывается в долях, потенциале и дивидендных расчётах основного портфеля; входит только в семейный итог. Доходность — по тарифу «Сэйв» её аккаунта.</t>
        </is>
      </c>
    </row>
    <row r="40">
      <c r="A40" s="29" t="inlineStr">
        <is>
          <t>ВСЕГО СЕМЕЙНЫЙ ПОРТФЕЛЬ (ликвидный)</t>
        </is>
      </c>
      <c r="B40" s="24" t="n"/>
      <c r="C40" s="24" t="n"/>
      <c r="D40" s="24" t="n"/>
      <c r="E40" s="24" t="n"/>
      <c r="F40" s="24" t="n"/>
      <c r="G40" s="24" t="n"/>
      <c r="H40" s="24" t="n"/>
      <c r="I40" s="30" t="n">
        <v>2076119.29</v>
      </c>
      <c r="J40" s="31" t="n"/>
      <c r="K40" s="34" t="inlineStr">
        <is>
          <t>ваш 1 471 119 ₽ + жены 605 000 ₽</t>
        </is>
      </c>
      <c r="L40" s="32" t="n"/>
      <c r="M40" s="32" t="n"/>
      <c r="N40" s="32" t="n"/>
      <c r="O40" s="32" t="n"/>
      <c r="P40" s="32" t="n"/>
      <c r="Q40" s="32" t="n"/>
      <c r="R40" s="32" t="n"/>
      <c r="S40" s="32" t="n"/>
    </row>
    <row r="41">
      <c r="A41" s="35" t="inlineStr">
        <is>
          <t>ЗАБЛОКИРОВАННЫЕ АКТИВЫ — справочно, вне ликвидного итога</t>
        </is>
      </c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</row>
    <row r="42">
      <c r="A42" s="4" t="n">
        <v>31</v>
      </c>
      <c r="B42" s="5" t="inlineStr">
        <is>
          <t>Заблокировано</t>
        </is>
      </c>
      <c r="C42" s="5" t="inlineStr">
        <is>
          <t>BLT · ISIN CA06849F1080</t>
        </is>
      </c>
      <c r="D42" s="5" t="inlineStr">
        <is>
          <t>Barrick Mining (Barrick Gold)</t>
        </is>
      </c>
      <c r="E42" s="5" t="n">
        <v>6</v>
      </c>
      <c r="F42" s="7" t="n">
        <v>3397.47</v>
      </c>
      <c r="G42" s="5" t="n"/>
      <c r="H42" s="5" t="n"/>
      <c r="I42" s="9" t="n">
        <v>20384.83</v>
      </c>
      <c r="J42" s="5" t="n"/>
      <c r="K42" s="4" t="inlineStr">
        <is>
          <t>—</t>
        </is>
      </c>
      <c r="L42" s="5" t="n"/>
      <c r="M42" s="5" t="n"/>
      <c r="N42" s="5" t="n"/>
      <c r="O42" s="5" t="inlineStr">
        <is>
          <t>—</t>
        </is>
      </c>
      <c r="P42" s="5" t="inlineStr">
        <is>
          <t>—</t>
        </is>
      </c>
      <c r="Q42" s="5" t="n"/>
      <c r="R42" s="17" t="inlineStr">
        <is>
          <t>заблокировано</t>
        </is>
      </c>
      <c r="S42" s="17" t="inlineStr">
        <is>
          <t>Заморожен из-за санкционных/инфраструктурных ограничений: продажа и вывод недоступны, дивиденды не поступают. Оценка по цене 40,51 $ и курсу ЦБ 83.8675 ₽/$ (14.10.2026).</t>
        </is>
      </c>
    </row>
    <row r="43">
      <c r="A43" s="29" t="inlineStr">
        <is>
          <t>ИТОГО С УЧЁТОМ ЗАБЛОКИРОВАННЫХ</t>
        </is>
      </c>
      <c r="B43" s="32" t="n"/>
      <c r="C43" s="32" t="n"/>
      <c r="D43" s="32" t="n"/>
      <c r="E43" s="32" t="n"/>
      <c r="F43" s="32" t="n"/>
      <c r="G43" s="32" t="n"/>
      <c r="H43" s="32" t="n"/>
      <c r="I43" s="30" t="n">
        <v>1491504.12</v>
      </c>
      <c r="J43" s="34" t="inlineStr">
        <is>
          <t>ликвидная часть: 1 471 119 ₽ + заблокировано 20 385 ₽</t>
        </is>
      </c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</row>
  </sheetData>
  <mergeCells count="9">
    <mergeCell ref="A41:S41"/>
    <mergeCell ref="A30:H30"/>
    <mergeCell ref="A35:H35"/>
    <mergeCell ref="A43:H43"/>
    <mergeCell ref="A38:H38"/>
    <mergeCell ref="A1:S1"/>
    <mergeCell ref="A37:H37"/>
    <mergeCell ref="A2:S2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6" customWidth="1" min="4" max="4"/>
    <col width="14" customWidth="1" min="5" max="5"/>
    <col width="17" customWidth="1" min="6" max="6"/>
    <col width="15" customWidth="1" min="7" max="7"/>
    <col width="17" customWidth="1" min="8" max="8"/>
    <col width="16" customWidth="1" min="9" max="9"/>
    <col width="66" customWidth="1" min="10" max="10"/>
  </cols>
  <sheetData>
    <row r="1">
      <c r="A1" s="1" t="inlineStr">
        <is>
          <t>Учёт ежедневных остатков — Акции, Фонды, Счета, Сэйв жены (обновлено: 2026-10-29)</t>
        </is>
      </c>
    </row>
    <row r="2" ht="42" customHeight="1">
      <c r="A2" s="37" t="inlineStr">
        <is>
          <t>Помесячные остатки на 1-е число за 03.2023–09.2026 — данные пользователя: «Сэйв жены», «Тинькоф — акции», «IH+БКС — фонды» (IH и БКС суммируются); кэш и заблокированные в эти месяцы не указаны, «Итого» = акции + фонды. Записи добавляются ежедневно в 23:45 МСК (GitHub Actions) и при ручных обновлениях. Категории: Акции (25 бумаг), Фонды (4 пифа), Счета — денежный остаток «Сэйв» Яндекс Банка, Сэйв жены — пенсионный счёт (семейный блок, входит только в «Семейный итог»). Заблокированные активы (Barrick, 6 шт) — справочно, вне ликвидного итога. Не учитываются: PINS-RM, FIVE, остатки на брокерском счёте Т-Банка (−4 091,15 ₽ и 2,82 $). История до 21.10 восстановлена из git-истории portfolio_data.json; 17–20.10 пересчитаны по фактическим остаткам (регрессия публикации 16.10).</t>
        </is>
      </c>
    </row>
    <row r="4" ht="30" customHeight="1">
      <c r="A4" s="3" t="inlineStr">
        <is>
          <t>Дата</t>
        </is>
      </c>
      <c r="B4" s="3" t="inlineStr">
        <is>
          <t>Сэйв жены, ₽</t>
        </is>
      </c>
      <c r="C4" s="3" t="inlineStr">
        <is>
          <t>Тинькоф — акции, ₽</t>
        </is>
      </c>
      <c r="D4" s="3" t="inlineStr">
        <is>
          <t>IH+БКС — фонды, ₽</t>
        </is>
      </c>
      <c r="E4" s="3" t="inlineStr">
        <is>
          <t>Счета (кэш), ₽</t>
        </is>
      </c>
      <c r="F4" s="3" t="inlineStr">
        <is>
          <t>ИТОГО портфель, ₽</t>
        </is>
      </c>
      <c r="G4" s="3" t="inlineStr">
        <is>
          <t>Заблокировано, ₽</t>
        </is>
      </c>
      <c r="H4" s="3" t="inlineStr">
        <is>
          <t>Итого с заблокир., ₽</t>
        </is>
      </c>
      <c r="I4" s="3" t="inlineStr">
        <is>
          <t>Семейный итог, ₽</t>
        </is>
      </c>
      <c r="J4" s="3" t="inlineStr">
        <is>
          <t>Примечание / источник</t>
        </is>
      </c>
    </row>
    <row r="5">
      <c r="A5" s="4" t="inlineStr">
        <is>
          <t>01.03.2023</t>
        </is>
      </c>
      <c r="B5" s="9" t="n">
        <v>50000</v>
      </c>
      <c r="C5" s="9" t="n">
        <v>190000</v>
      </c>
      <c r="D5" s="9" t="n">
        <v>187000</v>
      </c>
      <c r="E5" s="9" t="n"/>
      <c r="F5" s="38" t="n">
        <v>377000</v>
      </c>
      <c r="G5" s="9" t="n"/>
      <c r="H5" s="9" t="n"/>
      <c r="I5" s="38" t="n">
        <v>427000</v>
      </c>
      <c r="J5" s="39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6">
      <c r="A6" s="40" t="inlineStr">
        <is>
          <t>01.04.2023</t>
        </is>
      </c>
      <c r="B6" s="41" t="n">
        <v>60000</v>
      </c>
      <c r="C6" s="41" t="n">
        <v>190000</v>
      </c>
      <c r="D6" s="41" t="n">
        <v>187000</v>
      </c>
      <c r="E6" s="41" t="n"/>
      <c r="F6" s="42" t="n">
        <v>377000</v>
      </c>
      <c r="G6" s="41" t="n"/>
      <c r="H6" s="41" t="n"/>
      <c r="I6" s="42" t="n">
        <v>437000</v>
      </c>
      <c r="J6" s="43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7">
      <c r="A7" s="4" t="inlineStr">
        <is>
          <t>01.05.2023</t>
        </is>
      </c>
      <c r="B7" s="9" t="n">
        <v>70000</v>
      </c>
      <c r="C7" s="9" t="n">
        <v>190000</v>
      </c>
      <c r="D7" s="9" t="n">
        <v>187000</v>
      </c>
      <c r="E7" s="9" t="n"/>
      <c r="F7" s="38" t="n">
        <v>377000</v>
      </c>
      <c r="G7" s="9" t="n"/>
      <c r="H7" s="9" t="n"/>
      <c r="I7" s="38" t="n">
        <v>447000</v>
      </c>
      <c r="J7" s="39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8">
      <c r="A8" s="40" t="inlineStr">
        <is>
          <t>01.06.2023</t>
        </is>
      </c>
      <c r="B8" s="41" t="n">
        <v>75000</v>
      </c>
      <c r="C8" s="41" t="n">
        <v>190000</v>
      </c>
      <c r="D8" s="41" t="n">
        <v>187000</v>
      </c>
      <c r="E8" s="41" t="n"/>
      <c r="F8" s="42" t="n">
        <v>377000</v>
      </c>
      <c r="G8" s="41" t="n"/>
      <c r="H8" s="41" t="n"/>
      <c r="I8" s="42" t="n">
        <v>452000</v>
      </c>
      <c r="J8" s="43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9">
      <c r="A9" s="4" t="inlineStr">
        <is>
          <t>01.07.2023</t>
        </is>
      </c>
      <c r="B9" s="9" t="n">
        <v>80000</v>
      </c>
      <c r="C9" s="9" t="n">
        <v>190000</v>
      </c>
      <c r="D9" s="9" t="n">
        <v>187000</v>
      </c>
      <c r="E9" s="9" t="n"/>
      <c r="F9" s="38" t="n">
        <v>377000</v>
      </c>
      <c r="G9" s="9" t="n"/>
      <c r="H9" s="9" t="n"/>
      <c r="I9" s="38" t="n">
        <v>457000</v>
      </c>
      <c r="J9" s="39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10">
      <c r="A10" s="40" t="inlineStr">
        <is>
          <t>01.08.2023</t>
        </is>
      </c>
      <c r="B10" s="41" t="n">
        <v>100000</v>
      </c>
      <c r="C10" s="41" t="n">
        <v>195000</v>
      </c>
      <c r="D10" s="41" t="n">
        <v>190000</v>
      </c>
      <c r="E10" s="41" t="n"/>
      <c r="F10" s="42" t="n">
        <v>385000</v>
      </c>
      <c r="G10" s="41" t="n"/>
      <c r="H10" s="41" t="n"/>
      <c r="I10" s="42" t="n">
        <v>485000</v>
      </c>
      <c r="J10" s="43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11">
      <c r="A11" s="4" t="inlineStr">
        <is>
          <t>01.09.2023</t>
        </is>
      </c>
      <c r="B11" s="9" t="n">
        <v>120000</v>
      </c>
      <c r="C11" s="9" t="n">
        <v>195000</v>
      </c>
      <c r="D11" s="9" t="n">
        <v>190000</v>
      </c>
      <c r="E11" s="9" t="n"/>
      <c r="F11" s="38" t="n">
        <v>385000</v>
      </c>
      <c r="G11" s="9" t="n"/>
      <c r="H11" s="9" t="n"/>
      <c r="I11" s="38" t="n">
        <v>505000</v>
      </c>
      <c r="J11" s="39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12">
      <c r="A12" s="40" t="inlineStr">
        <is>
          <t>01.10.2023</t>
        </is>
      </c>
      <c r="B12" s="41" t="n">
        <v>140000</v>
      </c>
      <c r="C12" s="41" t="n">
        <v>198000</v>
      </c>
      <c r="D12" s="41" t="n">
        <v>190000</v>
      </c>
      <c r="E12" s="41" t="n"/>
      <c r="F12" s="42" t="n">
        <v>388000</v>
      </c>
      <c r="G12" s="41" t="n"/>
      <c r="H12" s="41" t="n"/>
      <c r="I12" s="42" t="n">
        <v>528000</v>
      </c>
      <c r="J12" s="43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13">
      <c r="A13" s="4" t="inlineStr">
        <is>
          <t>01.11.2023</t>
        </is>
      </c>
      <c r="B13" s="9" t="n">
        <v>150000</v>
      </c>
      <c r="C13" s="9" t="n">
        <v>194232</v>
      </c>
      <c r="D13" s="9" t="n">
        <v>188409</v>
      </c>
      <c r="E13" s="9" t="n"/>
      <c r="F13" s="38" t="n">
        <v>382641</v>
      </c>
      <c r="G13" s="9" t="n"/>
      <c r="H13" s="9" t="n"/>
      <c r="I13" s="38" t="n">
        <v>532641</v>
      </c>
      <c r="J13" s="39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14">
      <c r="A14" s="40" t="inlineStr">
        <is>
          <t>01.12.2023</t>
        </is>
      </c>
      <c r="B14" s="41" t="n">
        <v>150000</v>
      </c>
      <c r="C14" s="41" t="n">
        <v>195822</v>
      </c>
      <c r="D14" s="41" t="n">
        <v>188409</v>
      </c>
      <c r="E14" s="41" t="n"/>
      <c r="F14" s="42" t="n">
        <v>384231</v>
      </c>
      <c r="G14" s="41" t="n"/>
      <c r="H14" s="41" t="n"/>
      <c r="I14" s="42" t="n">
        <v>534231</v>
      </c>
      <c r="J14" s="43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15">
      <c r="A15" s="4" t="inlineStr">
        <is>
          <t>01.01.2024</t>
        </is>
      </c>
      <c r="B15" s="9" t="n">
        <v>220000</v>
      </c>
      <c r="C15" s="9" t="n">
        <v>199407</v>
      </c>
      <c r="D15" s="9" t="n">
        <v>188409</v>
      </c>
      <c r="E15" s="9" t="n"/>
      <c r="F15" s="38" t="n">
        <v>387816</v>
      </c>
      <c r="G15" s="9" t="n"/>
      <c r="H15" s="9" t="n"/>
      <c r="I15" s="38" t="n">
        <v>607816</v>
      </c>
      <c r="J15" s="39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16">
      <c r="A16" s="40" t="inlineStr">
        <is>
          <t>01.02.2024</t>
        </is>
      </c>
      <c r="B16" s="41" t="n">
        <v>110000</v>
      </c>
      <c r="C16" s="41" t="n">
        <v>200786</v>
      </c>
      <c r="D16" s="41" t="n">
        <v>188409</v>
      </c>
      <c r="E16" s="41" t="n"/>
      <c r="F16" s="42" t="n">
        <v>389195</v>
      </c>
      <c r="G16" s="41" t="n"/>
      <c r="H16" s="41" t="n"/>
      <c r="I16" s="42" t="n">
        <v>499195</v>
      </c>
      <c r="J16" s="43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17">
      <c r="A17" s="4" t="inlineStr">
        <is>
          <t>01.03.2024</t>
        </is>
      </c>
      <c r="B17" s="9" t="n">
        <v>110000</v>
      </c>
      <c r="C17" s="9" t="n">
        <v>313059</v>
      </c>
      <c r="D17" s="9" t="n">
        <v>190747</v>
      </c>
      <c r="E17" s="9" t="n"/>
      <c r="F17" s="38" t="n">
        <v>503806</v>
      </c>
      <c r="G17" s="9" t="n"/>
      <c r="H17" s="9" t="n"/>
      <c r="I17" s="38" t="n">
        <v>613806</v>
      </c>
      <c r="J17" s="39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18">
      <c r="A18" s="40" t="inlineStr">
        <is>
          <t>01.04.2024</t>
        </is>
      </c>
      <c r="B18" s="41" t="n">
        <v>110000</v>
      </c>
      <c r="C18" s="41" t="n">
        <v>384361</v>
      </c>
      <c r="D18" s="41" t="n">
        <v>344588</v>
      </c>
      <c r="E18" s="41" t="n"/>
      <c r="F18" s="42" t="n">
        <v>728949</v>
      </c>
      <c r="G18" s="41" t="n"/>
      <c r="H18" s="41" t="n"/>
      <c r="I18" s="42" t="n">
        <v>838949</v>
      </c>
      <c r="J18" s="43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19">
      <c r="A19" s="4" t="inlineStr">
        <is>
          <t>01.05.2024</t>
        </is>
      </c>
      <c r="B19" s="9" t="n">
        <v>150000</v>
      </c>
      <c r="C19" s="9" t="n">
        <v>256990</v>
      </c>
      <c r="D19" s="9" t="n">
        <v>567974</v>
      </c>
      <c r="E19" s="9" t="n"/>
      <c r="F19" s="38" t="n">
        <v>824964</v>
      </c>
      <c r="G19" s="9" t="n"/>
      <c r="H19" s="9" t="n"/>
      <c r="I19" s="38" t="n">
        <v>974964</v>
      </c>
      <c r="J19" s="39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20">
      <c r="A20" s="40" t="inlineStr">
        <is>
          <t>01.06.2024</t>
        </is>
      </c>
      <c r="B20" s="41" t="n">
        <v>150000</v>
      </c>
      <c r="C20" s="41" t="n">
        <v>118601</v>
      </c>
      <c r="D20" s="41" t="n">
        <v>608474</v>
      </c>
      <c r="E20" s="41" t="n"/>
      <c r="F20" s="42" t="n">
        <v>727075</v>
      </c>
      <c r="G20" s="41" t="n"/>
      <c r="H20" s="41" t="n"/>
      <c r="I20" s="42" t="n">
        <v>877075</v>
      </c>
      <c r="J20" s="43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21">
      <c r="A21" s="4" t="inlineStr">
        <is>
          <t>01.07.2024</t>
        </is>
      </c>
      <c r="B21" s="9" t="n">
        <v>150000</v>
      </c>
      <c r="C21" s="9" t="n">
        <v>110212</v>
      </c>
      <c r="D21" s="9" t="n">
        <v>581385</v>
      </c>
      <c r="E21" s="9" t="n"/>
      <c r="F21" s="38" t="n">
        <v>691597</v>
      </c>
      <c r="G21" s="9" t="n"/>
      <c r="H21" s="9" t="n"/>
      <c r="I21" s="38" t="n">
        <v>841597</v>
      </c>
      <c r="J21" s="39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22">
      <c r="A22" s="40" t="inlineStr">
        <is>
          <t>01.08.2024</t>
        </is>
      </c>
      <c r="B22" s="41" t="n">
        <v>100000</v>
      </c>
      <c r="C22" s="41" t="n">
        <v>65000</v>
      </c>
      <c r="D22" s="41" t="n">
        <v>642877</v>
      </c>
      <c r="E22" s="41" t="n"/>
      <c r="F22" s="42" t="n">
        <v>707877</v>
      </c>
      <c r="G22" s="41" t="n"/>
      <c r="H22" s="41" t="n"/>
      <c r="I22" s="42" t="n">
        <v>807877</v>
      </c>
      <c r="J22" s="43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23">
      <c r="A23" s="4" t="inlineStr">
        <is>
          <t>01.09.2024</t>
        </is>
      </c>
      <c r="B23" s="9" t="n">
        <v>120000</v>
      </c>
      <c r="C23" s="9" t="n">
        <v>65000</v>
      </c>
      <c r="D23" s="9" t="n">
        <v>671000</v>
      </c>
      <c r="E23" s="9" t="n"/>
      <c r="F23" s="38" t="n">
        <v>736000</v>
      </c>
      <c r="G23" s="9" t="n"/>
      <c r="H23" s="9" t="n"/>
      <c r="I23" s="38" t="n">
        <v>856000</v>
      </c>
      <c r="J23" s="39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24">
      <c r="A24" s="40" t="inlineStr">
        <is>
          <t>01.10.2024</t>
        </is>
      </c>
      <c r="B24" s="41" t="n">
        <v>130000</v>
      </c>
      <c r="C24" s="41" t="n">
        <v>59000</v>
      </c>
      <c r="D24" s="41" t="n">
        <v>826800</v>
      </c>
      <c r="E24" s="41" t="n"/>
      <c r="F24" s="42" t="n">
        <v>885800</v>
      </c>
      <c r="G24" s="41" t="n"/>
      <c r="H24" s="41" t="n"/>
      <c r="I24" s="42" t="n">
        <v>1015800</v>
      </c>
      <c r="J24" s="43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25">
      <c r="A25" s="4" t="inlineStr">
        <is>
          <t>01.11.2024</t>
        </is>
      </c>
      <c r="B25" s="9" t="n">
        <v>140000</v>
      </c>
      <c r="C25" s="9" t="n">
        <v>58000</v>
      </c>
      <c r="D25" s="9" t="n">
        <v>886800</v>
      </c>
      <c r="E25" s="9" t="n"/>
      <c r="F25" s="38" t="n">
        <v>944800</v>
      </c>
      <c r="G25" s="9" t="n"/>
      <c r="H25" s="9" t="n"/>
      <c r="I25" s="38" t="n">
        <v>1084800</v>
      </c>
      <c r="J25" s="39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26">
      <c r="A26" s="40" t="inlineStr">
        <is>
          <t>01.12.2024</t>
        </is>
      </c>
      <c r="B26" s="41" t="n">
        <v>240000</v>
      </c>
      <c r="C26" s="41" t="n">
        <v>82000</v>
      </c>
      <c r="D26" s="41" t="n">
        <v>805000</v>
      </c>
      <c r="E26" s="41" t="n"/>
      <c r="F26" s="42" t="n">
        <v>887000</v>
      </c>
      <c r="G26" s="41" t="n"/>
      <c r="H26" s="41" t="n"/>
      <c r="I26" s="42" t="n">
        <v>1127000</v>
      </c>
      <c r="J26" s="43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27">
      <c r="A27" s="4" t="inlineStr">
        <is>
          <t>01.01.2025</t>
        </is>
      </c>
      <c r="B27" s="9" t="n">
        <v>240000</v>
      </c>
      <c r="C27" s="9" t="n">
        <v>85000</v>
      </c>
      <c r="D27" s="9" t="n">
        <v>820000</v>
      </c>
      <c r="E27" s="9" t="n"/>
      <c r="F27" s="38" t="n">
        <v>905000</v>
      </c>
      <c r="G27" s="9" t="n"/>
      <c r="H27" s="9" t="n"/>
      <c r="I27" s="38" t="n">
        <v>1145000</v>
      </c>
      <c r="J27" s="39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28">
      <c r="A28" s="40" t="inlineStr">
        <is>
          <t>01.02.2025</t>
        </is>
      </c>
      <c r="B28" s="41" t="n">
        <v>250000</v>
      </c>
      <c r="C28" s="41" t="n">
        <v>47000</v>
      </c>
      <c r="D28" s="41" t="n">
        <v>627000</v>
      </c>
      <c r="E28" s="41" t="n"/>
      <c r="F28" s="42" t="n">
        <v>674000</v>
      </c>
      <c r="G28" s="41" t="n"/>
      <c r="H28" s="41" t="n"/>
      <c r="I28" s="42" t="n">
        <v>924000</v>
      </c>
      <c r="J28" s="43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29">
      <c r="A29" s="4" t="inlineStr">
        <is>
          <t>01.03.2025</t>
        </is>
      </c>
      <c r="B29" s="9" t="n">
        <v>250000</v>
      </c>
      <c r="C29" s="9" t="n">
        <v>47596</v>
      </c>
      <c r="D29" s="9" t="n">
        <v>647647</v>
      </c>
      <c r="E29" s="9" t="n"/>
      <c r="F29" s="38" t="n">
        <v>695243</v>
      </c>
      <c r="G29" s="9" t="n"/>
      <c r="H29" s="9" t="n"/>
      <c r="I29" s="38" t="n">
        <v>945243</v>
      </c>
      <c r="J29" s="39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30">
      <c r="A30" s="40" t="inlineStr">
        <is>
          <t>01.04.2025</t>
        </is>
      </c>
      <c r="B30" s="41" t="n">
        <v>250000</v>
      </c>
      <c r="C30" s="41" t="n">
        <v>55254</v>
      </c>
      <c r="D30" s="41" t="n">
        <v>557125</v>
      </c>
      <c r="E30" s="41" t="n"/>
      <c r="F30" s="42" t="n">
        <v>612379</v>
      </c>
      <c r="G30" s="41" t="n"/>
      <c r="H30" s="41" t="n"/>
      <c r="I30" s="42" t="n">
        <v>862379</v>
      </c>
      <c r="J30" s="43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31">
      <c r="A31" s="4" t="inlineStr">
        <is>
          <t>01.05.2025</t>
        </is>
      </c>
      <c r="B31" s="9" t="n">
        <v>250000</v>
      </c>
      <c r="C31" s="9" t="n">
        <v>158000</v>
      </c>
      <c r="D31" s="9" t="n">
        <v>402000</v>
      </c>
      <c r="E31" s="9" t="n"/>
      <c r="F31" s="38" t="n">
        <v>560000</v>
      </c>
      <c r="G31" s="9" t="n"/>
      <c r="H31" s="9" t="n"/>
      <c r="I31" s="38" t="n">
        <v>810000</v>
      </c>
      <c r="J31" s="39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32">
      <c r="A32" s="40" t="inlineStr">
        <is>
          <t>01.06.2025</t>
        </is>
      </c>
      <c r="B32" s="41" t="n">
        <v>250000</v>
      </c>
      <c r="C32" s="41" t="n">
        <v>260270</v>
      </c>
      <c r="D32" s="41" t="n">
        <v>413000</v>
      </c>
      <c r="E32" s="41" t="n"/>
      <c r="F32" s="42" t="n">
        <v>673270</v>
      </c>
      <c r="G32" s="41" t="n"/>
      <c r="H32" s="41" t="n"/>
      <c r="I32" s="42" t="n">
        <v>923270</v>
      </c>
      <c r="J32" s="43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33">
      <c r="A33" s="4" t="inlineStr">
        <is>
          <t>01.07.2025</t>
        </is>
      </c>
      <c r="B33" s="9" t="n">
        <v>400000</v>
      </c>
      <c r="C33" s="9" t="n">
        <v>393000</v>
      </c>
      <c r="D33" s="9" t="n">
        <v>422882</v>
      </c>
      <c r="E33" s="9" t="n"/>
      <c r="F33" s="38" t="n">
        <v>815882</v>
      </c>
      <c r="G33" s="9" t="n"/>
      <c r="H33" s="9" t="n"/>
      <c r="I33" s="38" t="n">
        <v>1215882</v>
      </c>
      <c r="J33" s="39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34">
      <c r="A34" s="40" t="inlineStr">
        <is>
          <t>01.08.2025</t>
        </is>
      </c>
      <c r="B34" s="41" t="n">
        <v>400000</v>
      </c>
      <c r="C34" s="41" t="n">
        <v>237000</v>
      </c>
      <c r="D34" s="41" t="n">
        <v>641720</v>
      </c>
      <c r="E34" s="41" t="n"/>
      <c r="F34" s="42" t="n">
        <v>878720</v>
      </c>
      <c r="G34" s="41" t="n"/>
      <c r="H34" s="41" t="n"/>
      <c r="I34" s="42" t="n">
        <v>1278720</v>
      </c>
      <c r="J34" s="43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35">
      <c r="A35" s="4" t="inlineStr">
        <is>
          <t>01.09.2025</t>
        </is>
      </c>
      <c r="B35" s="9" t="n">
        <v>300000</v>
      </c>
      <c r="C35" s="9" t="n">
        <v>226800</v>
      </c>
      <c r="D35" s="9" t="n">
        <v>641720</v>
      </c>
      <c r="E35" s="9" t="n"/>
      <c r="F35" s="38" t="n">
        <v>868520</v>
      </c>
      <c r="G35" s="9" t="n"/>
      <c r="H35" s="9" t="n"/>
      <c r="I35" s="38" t="n">
        <v>1168520</v>
      </c>
      <c r="J35" s="39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36">
      <c r="A36" s="40" t="inlineStr">
        <is>
          <t>01.10.2025</t>
        </is>
      </c>
      <c r="B36" s="41" t="n">
        <v>300000</v>
      </c>
      <c r="C36" s="41" t="n">
        <v>271000</v>
      </c>
      <c r="D36" s="41" t="n">
        <v>616949</v>
      </c>
      <c r="E36" s="41" t="n"/>
      <c r="F36" s="42" t="n">
        <v>887949</v>
      </c>
      <c r="G36" s="41" t="n"/>
      <c r="H36" s="41" t="n"/>
      <c r="I36" s="42" t="n">
        <v>1187949</v>
      </c>
      <c r="J36" s="43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37">
      <c r="A37" s="4" t="inlineStr">
        <is>
          <t>01.11.2025</t>
        </is>
      </c>
      <c r="B37" s="9" t="n">
        <v>300000</v>
      </c>
      <c r="C37" s="9" t="n">
        <v>333000</v>
      </c>
      <c r="D37" s="9" t="n">
        <v>632516</v>
      </c>
      <c r="E37" s="9" t="n"/>
      <c r="F37" s="38" t="n">
        <v>965516</v>
      </c>
      <c r="G37" s="9" t="n"/>
      <c r="H37" s="9" t="n"/>
      <c r="I37" s="38" t="n">
        <v>1265516</v>
      </c>
      <c r="J37" s="39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38">
      <c r="A38" s="40" t="inlineStr">
        <is>
          <t>01.12.2025</t>
        </is>
      </c>
      <c r="B38" s="41" t="n">
        <v>300000</v>
      </c>
      <c r="C38" s="41" t="n">
        <v>371636</v>
      </c>
      <c r="D38" s="41" t="n">
        <v>641500</v>
      </c>
      <c r="E38" s="41" t="n"/>
      <c r="F38" s="42" t="n">
        <v>1013136</v>
      </c>
      <c r="G38" s="41" t="n"/>
      <c r="H38" s="41" t="n"/>
      <c r="I38" s="42" t="n">
        <v>1313136</v>
      </c>
      <c r="J38" s="43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39">
      <c r="A39" s="4" t="inlineStr">
        <is>
          <t>01.01.2026</t>
        </is>
      </c>
      <c r="B39" s="9" t="n">
        <v>400000</v>
      </c>
      <c r="C39" s="9" t="n">
        <v>436147</v>
      </c>
      <c r="D39" s="9" t="n">
        <v>660148</v>
      </c>
      <c r="E39" s="9" t="n"/>
      <c r="F39" s="38" t="n">
        <v>1096295</v>
      </c>
      <c r="G39" s="9" t="n"/>
      <c r="H39" s="9" t="n"/>
      <c r="I39" s="38" t="n">
        <v>1496295</v>
      </c>
      <c r="J39" s="39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40">
      <c r="A40" s="40" t="inlineStr">
        <is>
          <t>01.02.2026</t>
        </is>
      </c>
      <c r="B40" s="41" t="n">
        <v>400000</v>
      </c>
      <c r="C40" s="41" t="n">
        <v>458213</v>
      </c>
      <c r="D40" s="41" t="n">
        <v>666230</v>
      </c>
      <c r="E40" s="41" t="n"/>
      <c r="F40" s="42" t="n">
        <v>1124443</v>
      </c>
      <c r="G40" s="41" t="n"/>
      <c r="H40" s="41" t="n"/>
      <c r="I40" s="42" t="n">
        <v>1524443</v>
      </c>
      <c r="J40" s="43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41">
      <c r="A41" s="4" t="inlineStr">
        <is>
          <t>01.03.2026</t>
        </is>
      </c>
      <c r="B41" s="9" t="n">
        <v>400000</v>
      </c>
      <c r="C41" s="9" t="n">
        <v>528000</v>
      </c>
      <c r="D41" s="9" t="n">
        <v>674900</v>
      </c>
      <c r="E41" s="9" t="n"/>
      <c r="F41" s="38" t="n">
        <v>1202900</v>
      </c>
      <c r="G41" s="9" t="n"/>
      <c r="H41" s="9" t="n"/>
      <c r="I41" s="38" t="n">
        <v>1602900</v>
      </c>
      <c r="J41" s="39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42">
      <c r="A42" s="40" t="inlineStr">
        <is>
          <t>01.04.2026</t>
        </is>
      </c>
      <c r="B42" s="41" t="n">
        <v>500000</v>
      </c>
      <c r="C42" s="41" t="n">
        <v>537000</v>
      </c>
      <c r="D42" s="41" t="n">
        <v>672500</v>
      </c>
      <c r="E42" s="41" t="n"/>
      <c r="F42" s="42" t="n">
        <v>1209500</v>
      </c>
      <c r="G42" s="41" t="n"/>
      <c r="H42" s="41" t="n"/>
      <c r="I42" s="42" t="n">
        <v>1709500</v>
      </c>
      <c r="J42" s="43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43">
      <c r="A43" s="4" t="inlineStr">
        <is>
          <t>01.05.2026</t>
        </is>
      </c>
      <c r="B43" s="9" t="n">
        <v>400000</v>
      </c>
      <c r="C43" s="9" t="n">
        <v>434000</v>
      </c>
      <c r="D43" s="9" t="n">
        <v>675300</v>
      </c>
      <c r="E43" s="9" t="n"/>
      <c r="F43" s="38" t="n">
        <v>1109300</v>
      </c>
      <c r="G43" s="9" t="n"/>
      <c r="H43" s="9" t="n"/>
      <c r="I43" s="38" t="n">
        <v>1509300</v>
      </c>
      <c r="J43" s="39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44">
      <c r="A44" s="40" t="inlineStr">
        <is>
          <t>01.06.2026</t>
        </is>
      </c>
      <c r="B44" s="41" t="n">
        <v>400000</v>
      </c>
      <c r="C44" s="41" t="n">
        <v>434693</v>
      </c>
      <c r="D44" s="41" t="n">
        <v>659831</v>
      </c>
      <c r="E44" s="41" t="n"/>
      <c r="F44" s="42" t="n">
        <v>1094524</v>
      </c>
      <c r="G44" s="41" t="n"/>
      <c r="H44" s="41" t="n"/>
      <c r="I44" s="42" t="n">
        <v>1494524</v>
      </c>
      <c r="J44" s="43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45">
      <c r="A45" s="4" t="inlineStr">
        <is>
          <t>01.07.2026</t>
        </is>
      </c>
      <c r="B45" s="9" t="n">
        <v>530000</v>
      </c>
      <c r="C45" s="9" t="n">
        <v>439528</v>
      </c>
      <c r="D45" s="9" t="n">
        <v>666833</v>
      </c>
      <c r="E45" s="9" t="n"/>
      <c r="F45" s="38" t="n">
        <v>1106361</v>
      </c>
      <c r="G45" s="9" t="n"/>
      <c r="H45" s="9" t="n"/>
      <c r="I45" s="38" t="n">
        <v>1636361</v>
      </c>
      <c r="J45" s="39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46">
      <c r="A46" s="40" t="inlineStr">
        <is>
          <t>01.08.2026</t>
        </is>
      </c>
      <c r="B46" s="41" t="n">
        <v>545000</v>
      </c>
      <c r="C46" s="41" t="n">
        <v>451035</v>
      </c>
      <c r="D46" s="41" t="n">
        <v>663167</v>
      </c>
      <c r="E46" s="41" t="n"/>
      <c r="F46" s="42" t="n">
        <v>1114202</v>
      </c>
      <c r="G46" s="41" t="n"/>
      <c r="H46" s="41" t="n"/>
      <c r="I46" s="42" t="n">
        <v>1659202</v>
      </c>
      <c r="J46" s="43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47">
      <c r="A47" s="4" t="inlineStr">
        <is>
          <t>01.09.2026</t>
        </is>
      </c>
      <c r="B47" s="9" t="n">
        <v>593000</v>
      </c>
      <c r="C47" s="9" t="n">
        <v>491400</v>
      </c>
      <c r="D47" s="9" t="n">
        <v>670946</v>
      </c>
      <c r="E47" s="9" t="n"/>
      <c r="F47" s="38" t="n">
        <v>1162346</v>
      </c>
      <c r="G47" s="9" t="n"/>
      <c r="H47" s="9" t="n"/>
      <c r="I47" s="38" t="n">
        <v>1755346</v>
      </c>
      <c r="J47" s="39" t="inlineStr">
        <is>
          <t>помесячные данные пользователя: остатки на 1-е число (Сэйв жены; Тинькоф — акции; IH+БКС — фонды; кэш не указан)</t>
        </is>
      </c>
    </row>
    <row r="48">
      <c r="A48" s="40" t="inlineStr">
        <is>
          <t>14.10.2026</t>
        </is>
      </c>
      <c r="B48" s="41" t="n">
        <v>605000</v>
      </c>
      <c r="C48" s="41" t="n">
        <v>547352.6800000001</v>
      </c>
      <c r="D48" s="41" t="n">
        <v>710434.17</v>
      </c>
      <c r="E48" s="41" t="n">
        <v>180000</v>
      </c>
      <c r="F48" s="42" t="n">
        <v>1437786.85</v>
      </c>
      <c r="G48" s="41" t="n">
        <v>20384.83</v>
      </c>
      <c r="H48" s="41" t="n">
        <v>1458171.68</v>
      </c>
      <c r="I48" s="42" t="n">
        <v>2042786.85</v>
      </c>
      <c r="J48" s="43" t="inlineStr">
        <is>
          <t>данные приложения Т-Банк от 14.10 (TMON 159 паев, кэш 180 тыс.)</t>
        </is>
      </c>
    </row>
    <row r="49">
      <c r="A49" s="4" t="inlineStr">
        <is>
          <t>16.10.2026</t>
        </is>
      </c>
      <c r="B49" s="9" t="n">
        <v>605000</v>
      </c>
      <c r="C49" s="9" t="n">
        <v>547856.0699999999</v>
      </c>
      <c r="D49" s="9" t="n">
        <v>711600.12</v>
      </c>
      <c r="E49" s="9" t="n">
        <v>180000</v>
      </c>
      <c r="F49" s="38" t="n">
        <v>1439456.19</v>
      </c>
      <c r="G49" s="9" t="n">
        <v>20384.83</v>
      </c>
      <c r="H49" s="9" t="n">
        <v>1459841.02</v>
      </c>
      <c r="I49" s="38" t="n">
        <v>2044456.19</v>
      </c>
      <c r="J49" s="39" t="inlineStr">
        <is>
          <t>автообновление: закрытие MOEX 16.10; СЧА фондов на 15.10</t>
        </is>
      </c>
    </row>
    <row r="50">
      <c r="A50" s="40" t="inlineStr">
        <is>
          <t>17.10.2026</t>
        </is>
      </c>
      <c r="B50" s="41" t="n">
        <v>605000</v>
      </c>
      <c r="C50" s="41" t="n">
        <v>547856.0699999999</v>
      </c>
      <c r="D50" s="41" t="n">
        <v>841048.92</v>
      </c>
      <c r="E50" s="41" t="n">
        <v>50000</v>
      </c>
      <c r="F50" s="42" t="n">
        <v>1438904.99</v>
      </c>
      <c r="G50" s="41" t="n">
        <v>20384.83</v>
      </c>
      <c r="H50" s="41" t="n">
        <v>1459289.82</v>
      </c>
      <c r="I50" s="42" t="n">
        <v>2043904.99</v>
      </c>
      <c r="J50" s="43" t="inlineStr">
        <is>
          <t>перевод 130 000 ₽ с «Сэйва» → покупка 780 паев TMON (~165,96 ₽) → 939 паев; акции по закрытию 16.10, СЧА на 15.10</t>
        </is>
      </c>
    </row>
    <row r="51">
      <c r="A51" s="4" t="inlineStr">
        <is>
          <t>19.10.2026</t>
        </is>
      </c>
      <c r="B51" s="9" t="n">
        <v>605000</v>
      </c>
      <c r="C51" s="9" t="n">
        <v>550483.1800000001</v>
      </c>
      <c r="D51" s="9" t="n">
        <v>844300.3199999999</v>
      </c>
      <c r="E51" s="9" t="n">
        <v>50000</v>
      </c>
      <c r="F51" s="38" t="n">
        <v>1444783.5</v>
      </c>
      <c r="G51" s="9" t="n">
        <v>20384.83</v>
      </c>
      <c r="H51" s="9" t="n">
        <v>1465168.33</v>
      </c>
      <c r="I51" s="38" t="n">
        <v>2049783.5</v>
      </c>
      <c r="J51" s="39" t="inlineStr">
        <is>
          <t>пересчёт по фактическим остаткам (в публикации 16–20.10 были устаревшие кэш/TMON); СЧА на 16.10</t>
        </is>
      </c>
    </row>
    <row r="52">
      <c r="A52" s="40" t="inlineStr">
        <is>
          <t>20.10.2026</t>
        </is>
      </c>
      <c r="B52" s="41" t="n">
        <v>605000</v>
      </c>
      <c r="C52" s="41" t="n">
        <v>559315.34</v>
      </c>
      <c r="D52" s="41" t="n">
        <v>846593</v>
      </c>
      <c r="E52" s="41" t="n">
        <v>50000</v>
      </c>
      <c r="F52" s="42" t="n">
        <v>1455908.34</v>
      </c>
      <c r="G52" s="41" t="n">
        <v>20384.83</v>
      </c>
      <c r="H52" s="41" t="n">
        <v>1476293.17</v>
      </c>
      <c r="I52" s="42" t="n">
        <v>2060908.34</v>
      </c>
      <c r="J52" s="43" t="inlineStr">
        <is>
          <t>пересчёт по фактическим остаткам; СЧА на 19.10 (TMON — 16.10)</t>
        </is>
      </c>
    </row>
    <row r="53">
      <c r="A53" s="4" t="inlineStr">
        <is>
          <t>21.10.2026</t>
        </is>
      </c>
      <c r="B53" s="9" t="n">
        <v>605000</v>
      </c>
      <c r="C53" s="9" t="n">
        <v>582857.38</v>
      </c>
      <c r="D53" s="9" t="n">
        <v>824893.0600000001</v>
      </c>
      <c r="E53" s="9" t="n">
        <v>50000</v>
      </c>
      <c r="F53" s="38" t="n">
        <v>1457750.44</v>
      </c>
      <c r="G53" s="9" t="n">
        <v>20384.83</v>
      </c>
      <c r="H53" s="9" t="n">
        <v>1478135.27</v>
      </c>
      <c r="I53" s="38" t="n">
        <v>2062750.44</v>
      </c>
      <c r="J53" s="39" t="inlineStr">
        <is>
          <t>автообновление + данные приложения от 21.10: продано 150 паев TMON (→789), докупки SIBN 35, MOEX 170, PMSB 40, PLZL 14</t>
        </is>
      </c>
    </row>
    <row r="54">
      <c r="A54" s="40" t="inlineStr">
        <is>
          <t>22.10.2026</t>
        </is>
      </c>
      <c r="B54" s="41" t="n">
        <v>605000</v>
      </c>
      <c r="C54" s="41" t="n">
        <v>577168.52</v>
      </c>
      <c r="D54" s="41" t="n">
        <v>823287.48</v>
      </c>
      <c r="E54" s="41" t="n">
        <v>50000</v>
      </c>
      <c r="F54" s="42" t="n">
        <v>1450456</v>
      </c>
      <c r="G54" s="41" t="n">
        <v>20384.83</v>
      </c>
      <c r="H54" s="41" t="n">
        <v>1470840.83</v>
      </c>
      <c r="I54" s="42" t="n">
        <v>2055456</v>
      </c>
      <c r="J54" s="43" t="inlineStr">
        <is>
          <t>автообновление GitHub Actions</t>
        </is>
      </c>
    </row>
    <row r="55">
      <c r="A55" s="4" t="inlineStr">
        <is>
          <t>23.10.2026</t>
        </is>
      </c>
      <c r="B55" s="9" t="n">
        <v>605000</v>
      </c>
      <c r="C55" s="9" t="n">
        <v>584626.5600000001</v>
      </c>
      <c r="D55" s="9" t="n">
        <v>822390.35</v>
      </c>
      <c r="E55" s="9" t="n">
        <v>50000</v>
      </c>
      <c r="F55" s="38" t="n">
        <v>1457016.91</v>
      </c>
      <c r="G55" s="9" t="n">
        <v>20384.83</v>
      </c>
      <c r="H55" s="9" t="n">
        <v>1477401.74</v>
      </c>
      <c r="I55" s="38" t="n">
        <v>2062016.91</v>
      </c>
      <c r="J55" s="39" t="inlineStr">
        <is>
          <t>автообновление GitHub Actions</t>
        </is>
      </c>
    </row>
    <row r="56">
      <c r="A56" s="40" t="inlineStr">
        <is>
          <t>26.10.2026</t>
        </is>
      </c>
      <c r="B56" s="41" t="n">
        <v>605000</v>
      </c>
      <c r="C56" s="41" t="n">
        <v>590415.45</v>
      </c>
      <c r="D56" s="41" t="n">
        <v>825683.96</v>
      </c>
      <c r="E56" s="41" t="n">
        <v>50000</v>
      </c>
      <c r="F56" s="42" t="n">
        <v>1466099.41</v>
      </c>
      <c r="G56" s="41" t="n">
        <v>20384.83</v>
      </c>
      <c r="H56" s="41" t="n">
        <v>1486484.24</v>
      </c>
      <c r="I56" s="42" t="n">
        <v>2071099.41</v>
      </c>
      <c r="J56" s="43" t="inlineStr">
        <is>
          <t>автообновление GitHub Actions</t>
        </is>
      </c>
    </row>
    <row r="57">
      <c r="A57" s="4" t="inlineStr">
        <is>
          <t>27.10.2026</t>
        </is>
      </c>
      <c r="B57" s="9" t="n">
        <v>605000</v>
      </c>
      <c r="C57" s="9" t="n">
        <v>626904.96</v>
      </c>
      <c r="D57" s="9" t="n">
        <v>798643.9</v>
      </c>
      <c r="E57" s="9" t="n">
        <v>50000</v>
      </c>
      <c r="F57" s="38" t="n">
        <v>1475548.86</v>
      </c>
      <c r="G57" s="9" t="n">
        <v>20384.83</v>
      </c>
      <c r="H57" s="9" t="n">
        <v>1495933.69</v>
      </c>
      <c r="I57" s="38" t="n">
        <v>2080548.86</v>
      </c>
      <c r="J57" s="39" t="inlineStr">
        <is>
          <t>автообновление</t>
        </is>
      </c>
    </row>
    <row r="58">
      <c r="A58" s="40" t="inlineStr">
        <is>
          <t>28.10.2026</t>
        </is>
      </c>
      <c r="B58" s="41" t="n">
        <v>605000</v>
      </c>
      <c r="C58" s="41" t="n">
        <v>688322.89</v>
      </c>
      <c r="D58" s="41" t="n">
        <v>738126.41</v>
      </c>
      <c r="E58" s="41" t="n">
        <v>50000</v>
      </c>
      <c r="F58" s="42" t="n">
        <v>1476449.3</v>
      </c>
      <c r="G58" s="41" t="n">
        <v>20384.83</v>
      </c>
      <c r="H58" s="41" t="n">
        <v>1496834.13</v>
      </c>
      <c r="I58" s="42" t="n">
        <v>2081449.3</v>
      </c>
      <c r="J58" s="43" t="inlineStr">
        <is>
          <t>автообновление GitHub Actions</t>
        </is>
      </c>
    </row>
    <row r="59">
      <c r="A59" s="4" t="inlineStr">
        <is>
          <t>29.10.2026</t>
        </is>
      </c>
      <c r="B59" s="9" t="n">
        <v>605000</v>
      </c>
      <c r="C59" s="9" t="n">
        <v>681304.64</v>
      </c>
      <c r="D59" s="9" t="n">
        <v>739814.65</v>
      </c>
      <c r="E59" s="9" t="n">
        <v>50000</v>
      </c>
      <c r="F59" s="38" t="n">
        <v>1471119.29</v>
      </c>
      <c r="G59" s="9" t="n">
        <v>20384.83</v>
      </c>
      <c r="H59" s="9" t="n">
        <v>1491504.12</v>
      </c>
      <c r="I59" s="38" t="n">
        <v>2076119.29</v>
      </c>
      <c r="J59" s="39" t="inlineStr">
        <is>
          <t>автообновление GitHub Actions</t>
        </is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28"/>
  <sheetViews>
    <sheetView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1">
      <c r="B1" s="44" t="inlineStr">
        <is>
          <t>СВОДКА: ПРОГНОЗЫ Т-БАНКА (08.10.2026), ЦЕНЫ И СОСТАВ НА 29.10.2026 (АВТООБНОВЛЕНИЕ)</t>
        </is>
      </c>
    </row>
    <row r="2" ht="15" customHeight="1">
      <c r="B2" s="45" t="inlineStr">
        <is>
          <t>• Рекомендации: ПОКУПАТЬ — 14; ДЕРЖАТЬ — 10; ПРОДАВАТЬ — 0; без прогноза — 2 (FEES, PMSB).</t>
        </is>
      </c>
    </row>
    <row r="3" ht="15" customHeight="1">
      <c r="B3" s="45" t="inlineStr">
        <is>
          <t>• Средневзвешенный потенциал роста акций к целевым ценам: +27.4% (без учёта дивидендов).</t>
        </is>
      </c>
    </row>
    <row r="5">
      <c r="B5" s="44" t="inlineStr">
        <is>
          <t>ДИВИДЕНДЫ</t>
        </is>
      </c>
    </row>
    <row r="6" ht="30" customHeight="1">
      <c r="B6" s="45" t="inlineStr">
        <is>
          <t>• Ближайших утверждённых отсечек нет. Выплаты T, GMKN (12.10) и SIBN (13.10) зафиксированы и придут в конце октября — начале ноября.</t>
        </is>
      </c>
    </row>
    <row r="7" ht="15" customHeight="1">
      <c r="B7" s="45" t="inlineStr">
        <is>
          <t>• Дивиденды за 12 месяцев (факт): ≈ 63 284 ₽ — 4.3% годовых на портфель.</t>
        </is>
      </c>
    </row>
    <row r="9">
      <c r="B9" s="44" t="inlineStr">
        <is>
          <t>МАКРО И СТРАТЕГИЯ</t>
        </is>
      </c>
    </row>
    <row r="10" ht="30" customHeight="1">
      <c r="B10" s="45" t="inlineStr">
        <is>
          <t>• IMOEX: 2 300–2 500 п. к концу 2026; 2 600–2 900 п. за 12 мес (Т-Инвестиции, 01.08.2026). Ключевая ставка: 14,00% (11.09.2026).</t>
        </is>
      </c>
    </row>
    <row r="12">
      <c r="B12" s="44" t="inlineStr">
        <is>
          <t>ФОНДЫ</t>
        </is>
      </c>
    </row>
    <row r="13" ht="45" customHeight="1">
      <c r="B13" s="45" t="inlineStr">
        <is>
          <t>• ОПИФ «Флагманский»: пай 944.24 ₽ (28.10.2026); 1 мес +8.08%  1 год +10.65%. Целевых цен аналитиков на фонды нет. Перспектива = рынок акций и облигаций: Т-Инвестиции ждут IMOEX 2300–2500 п. к концу 2026 и 2600–2900 п. за 12 мес. Выплат нет — доход реинвестируется в пай.</t>
        </is>
      </c>
    </row>
    <row r="14" ht="45" customHeight="1">
      <c r="B14" s="45" t="inlineStr">
        <is>
          <t>• ОПИФ «Рублевые перспективы»: пай 1 731.01 ₽ (28.10.2026); 1 мес +1.07%  1 год +16.56%. Цель УК — «ключевая ставка +1–2%» ≈ 15–16% годовых при ставке 14%. При снижении ставки ЦБ — дополнительный рост за счёт переоценки облигаций. Выплат нет.</t>
        </is>
      </c>
    </row>
    <row r="15" ht="45" customHeight="1">
      <c r="B15" s="45" t="inlineStr">
        <is>
          <t>• БПИФ «БКС Денежный рынок» (BCSD): пай 14.59 ₽ (28.10.2026); 1 мес +1.11%  1 год +15.35%. Доходность ≈ ключевая ставка минус комиссии (~13 5–14 5% годовых сейчас); при снижении ставки ЦБ будет постепенно падать. Просадок нет — «парковочный» актив.</t>
        </is>
      </c>
    </row>
    <row r="16" ht="105" customHeight="1">
      <c r="B16" s="45" t="inlineStr">
        <is>
          <t>• БПИФ «Т-Капитал Денежный рынок» (TMON): пай 166.72 ₽ (28.10.2026); 1 мес +1.05%  1 год +14.57%. Доходность ≈ ставка денежного рынка ON минус расходы (~13 5% годовых); за 1 год +14 7%. Дивиденды и купоны реинвестируются. Первые 2 пая куплены по 161 06 ₽; 08.10.2026 докуплено 180 паев по ~165 57 ₽; 12.10.2026 докуплено 220 паев по ~165 84 ₽ (новые средства) → 13.10.2026 продано 200 паев → 14.10.2026 продано 43 пая → 17.10.2026 переведено 130 000 ₽ с «Сэйва» и куплено 780 паев по ~165.96 ₽ → 21.10.2026 продано 150 паев → 27.10.2026 продано ещё 175 паев → 28.10.2026 продано 375 паев → позиция 239 паев. Аналог BCSD: при снижении ставки ЦБ доходность падает.</t>
        </is>
      </c>
    </row>
    <row r="18">
      <c r="B18" s="44" t="inlineStr">
        <is>
          <t>СЕМЕЙНЫЙ БЛОК (вне расчётов основного портфеля)</t>
        </is>
      </c>
    </row>
    <row r="19" ht="45" customHeight="1">
      <c r="B19" s="45" t="inlineStr">
        <is>
          <t>• Сэйв — пенсионный счёт жены (Яндекс Банк): 605 000 ₽. Отдельный блок: не учитывается в долях  потенциале и дивидендных расчётах основного портфеля; входит только в семейный итог. Доходность — по тарифу «Сэйв» её аккаунта.</t>
        </is>
      </c>
    </row>
    <row r="20" ht="15" customHeight="1">
      <c r="B20" s="45" t="inlineStr">
        <is>
          <t>• Семейный итог (ликвидный): 2 076 119 ₽ = ваш 1 471 119 ₽ + 605 000 ₽.</t>
        </is>
      </c>
    </row>
    <row r="22">
      <c r="B22" s="44" t="inlineStr">
        <is>
          <t>ЗАБЛОКИРОВАННЫЕ АКТИВЫ</t>
        </is>
      </c>
    </row>
    <row r="23" ht="45" customHeight="1">
      <c r="B23" s="45" t="inlineStr">
        <is>
          <t>• Barrick Mining (Barrick Gold): 6 шт × 40.51 $ ≈ 20,385 ₽. Заморожен из-за санкционных/инфраструктурных ограничений: продажа и вывод недоступны, дивиденды не поступают. Оценка по цене 40,51 $ и курсу ЦБ 83.8675 ₽/$ (14.10.2026).</t>
        </is>
      </c>
    </row>
    <row r="24" ht="15" customHeight="1">
      <c r="B24" s="45" t="inlineStr">
        <is>
          <t>• Итого с учётом заблокированных: 1 491 504 ₽ (ликвидная часть 1 471 119 ₽).</t>
        </is>
      </c>
    </row>
    <row r="26">
      <c r="B26" s="44" t="inlineStr">
        <is>
          <t>ИСТОЧНИКИ</t>
        </is>
      </c>
    </row>
    <row r="27" ht="30" customHeight="1">
      <c r="B27" s="45" t="inlineStr">
        <is>
          <t>• tbank.ru/invest (08.10.2026); MOEX ISS (29.10.2026, закрытие 28.10.2026); investfunds.ru; smart-lab.ru/dividends; cbr.ru. Состав и количества обновляются вручную.</t>
        </is>
      </c>
    </row>
    <row r="28" ht="15" customHeight="1">
      <c r="B28" s="45" t="inlineStr">
        <is>
          <t>⚠️ Материал информационный, не является индивидуальной инвестиционной рекомендацией.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2026-10-29T21:20:26Z</dcterms:created>
  <dcterms:modified xsi:type="dcterms:W3CDTF">2026-10-29T21:20:26Z</dcterms:modified>
</cp:coreProperties>
</file>